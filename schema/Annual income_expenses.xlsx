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&amp; Expenses" sheetId="1" r:id="rId5"/>
    <sheet state="visible" name="Credit Card" sheetId="2" r:id="rId6"/>
    <sheet state="visible" name="Summary" sheetId="3" r:id="rId7"/>
    <sheet state="visible" name="Office in Home" sheetId="4" r:id="rId8"/>
    <sheet state="visible" name="Fixed Asset Purchase" sheetId="5" r:id="rId9"/>
    <sheet state="visible" name="Personally Pd Expenses" sheetId="6" r:id="rId10"/>
  </sheets>
  <definedNames/>
  <calcPr/>
</workbook>
</file>

<file path=xl/sharedStrings.xml><?xml version="1.0" encoding="utf-8"?>
<sst xmlns="http://schemas.openxmlformats.org/spreadsheetml/2006/main" count="317" uniqueCount="108">
  <si>
    <t>Acct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</si>
  <si>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</si>
  <si>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</si>
  <si>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</si>
  <si>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</si>
  <si>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</si>
  <si>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</si>
  <si>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</si>
  <si>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</si>
  <si>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</si>
  <si>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</si>
  <si>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</si>
  <si>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</si>
  <si>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</si>
  <si>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 xml:space="preserve"> 2023 CARYOVER 		</t>
  </si>
  <si>
    <t>Income</t>
  </si>
  <si>
    <t>Other source of funds:</t>
  </si>
  <si>
    <t>Money from owner</t>
  </si>
  <si>
    <t>Distributions to owner</t>
  </si>
  <si>
    <t>Returns &amp; Allowances</t>
  </si>
  <si>
    <t>Contract Labor</t>
  </si>
  <si>
    <t>Andrew</t>
  </si>
  <si>
    <t>Justin</t>
  </si>
  <si>
    <t>Nick</t>
  </si>
  <si>
    <t>Ryan</t>
  </si>
  <si>
    <t>Ashton</t>
  </si>
  <si>
    <t>Savannah</t>
  </si>
  <si>
    <t>Tires</t>
  </si>
  <si>
    <t>Parts</t>
  </si>
  <si>
    <t>Materials &amp; Supplies</t>
  </si>
  <si>
    <t>Fixed Asset Purchase</t>
  </si>
  <si>
    <t>enter add'l information for each purchase on separate tab</t>
  </si>
  <si>
    <t>Accounting</t>
  </si>
  <si>
    <t>Advertising</t>
  </si>
  <si>
    <t>Bank Fees</t>
  </si>
  <si>
    <t>Merchant fees</t>
  </si>
  <si>
    <t>Website</t>
  </si>
  <si>
    <t>Equipment(Stakes/Tarps)</t>
  </si>
  <si>
    <t>Insurance - Liability</t>
  </si>
  <si>
    <t>Office Supplies</t>
  </si>
  <si>
    <t>Gas</t>
  </si>
  <si>
    <t>Canva (graphic design)</t>
  </si>
  <si>
    <t>Van Repair</t>
  </si>
  <si>
    <t>Insurance - Workers Comp</t>
  </si>
  <si>
    <t>Legal Zoom</t>
  </si>
  <si>
    <t>Regestration and Tag</t>
  </si>
  <si>
    <t>GoDaddy</t>
  </si>
  <si>
    <t>Meeting</t>
  </si>
  <si>
    <t>Misc</t>
  </si>
  <si>
    <t>Uniforms</t>
  </si>
  <si>
    <t>Other Professional Fees</t>
  </si>
  <si>
    <t>Outside Services</t>
  </si>
  <si>
    <t>Postage</t>
  </si>
  <si>
    <t>Mail Chimp</t>
  </si>
  <si>
    <t>Rent - Equipment</t>
  </si>
  <si>
    <t>Rent - Office</t>
  </si>
  <si>
    <t>Rent - Storage</t>
  </si>
  <si>
    <t>Vehicle Purchase</t>
  </si>
  <si>
    <t>Taxes - Other</t>
  </si>
  <si>
    <t>AT&amp;T</t>
  </si>
  <si>
    <t>Travel</t>
  </si>
  <si>
    <t>Utilities</t>
  </si>
  <si>
    <t>Auto Insurance</t>
  </si>
  <si>
    <t>Repairs &amp; Maintenance</t>
  </si>
  <si>
    <t>Credit Card Payment</t>
  </si>
  <si>
    <t>ACCIDENTAL CHARGE</t>
  </si>
  <si>
    <t>Penalties</t>
  </si>
  <si>
    <t>Interest Expense</t>
  </si>
  <si>
    <t>Mileage Driven</t>
  </si>
  <si>
    <t>enter actual miles</t>
  </si>
  <si>
    <t>Total business mileage driven during the year.</t>
  </si>
  <si>
    <t>Credit Card Payments</t>
  </si>
  <si>
    <t>Cash Back rewards</t>
  </si>
  <si>
    <t>Contributions</t>
  </si>
  <si>
    <t>Dues &amp; Subs</t>
  </si>
  <si>
    <t>Education/Seminars</t>
  </si>
  <si>
    <t>Gifts</t>
  </si>
  <si>
    <t>Insurance - E&amp;O</t>
  </si>
  <si>
    <t>Insurance - Health</t>
  </si>
  <si>
    <t>Insurance - Property</t>
  </si>
  <si>
    <t>Legal Fees</t>
  </si>
  <si>
    <t>Licenses &amp; Permits</t>
  </si>
  <si>
    <t>Meals &amp; Entertainment</t>
  </si>
  <si>
    <t>Trailer</t>
  </si>
  <si>
    <t>Printing &amp; Reprod</t>
  </si>
  <si>
    <t>Telephone</t>
  </si>
  <si>
    <t>Internet</t>
  </si>
  <si>
    <t>take 75% and do not included in OIH figures</t>
  </si>
  <si>
    <t>Electric</t>
  </si>
  <si>
    <t>Water</t>
  </si>
  <si>
    <t>Sanitation</t>
  </si>
  <si>
    <t>Security Monitoring</t>
  </si>
  <si>
    <t>Pest Control</t>
  </si>
  <si>
    <t>Lawn Care</t>
  </si>
  <si>
    <t>Repairs/Maintenance</t>
  </si>
  <si>
    <t>Rent</t>
  </si>
  <si>
    <t>Mortgage Interest Pd per Form 1098</t>
  </si>
  <si>
    <t>Real Estate Taxes Paid - County</t>
  </si>
  <si>
    <t>Real Estate Taxes Paid - City</t>
  </si>
  <si>
    <t>Home Insurance</t>
  </si>
  <si>
    <t>Office in home %</t>
  </si>
  <si>
    <t>Square footage of area used for office</t>
  </si>
  <si>
    <t>Total square footage of home</t>
  </si>
  <si>
    <t>Office In Home Deduction</t>
  </si>
  <si>
    <t>Date of Purchase</t>
  </si>
  <si>
    <t>Description of item</t>
  </si>
  <si>
    <t>Amount Pd</t>
  </si>
  <si>
    <t>Rainbow Combo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</si>
</sst>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.00_);_(* \(#,##0.00\);_(* &quot;-&quot;??_);_(@_)"/>
    <numFmt numFmtId="165" formatCode="#,##0.00;(#,##0.00)"/>
    <numFmt numFmtId="166" formatCode="mm-dd-yy"/>
    <numFmt numFmtId="167" formatCode="m-d-yy"/>
  </numFmts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4" xfId="0" applyAlignment="1" applyFont="1" applyNumberFormat="1">
      <alignment horizontal="center" readingOrder="0"/>
    </xf>
    <xf borderId="1" fillId="2" fontId="1" numFmtId="164" xfId="0" applyAlignment="1" applyBorder="1" applyFill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readingOrder="0"/>
    </xf>
    <xf borderId="1" fillId="2" fontId="1" numFmtId="164" xfId="0" applyBorder="1" applyFont="1" applyNumberFormat="1"/>
    <xf borderId="0" fillId="0" fontId="2" numFmtId="164" xfId="0" applyAlignment="1" applyFont="1" applyNumberFormat="1">
      <alignment readingOrder="0"/>
    </xf>
    <xf borderId="2" fillId="0" fontId="1" numFmtId="164" xfId="0" applyBorder="1" applyFont="1" applyNumberFormat="1"/>
    <xf borderId="2" fillId="0" fontId="1" numFmtId="164" xfId="0" applyAlignment="1" applyBorder="1" applyFont="1" applyNumberFormat="1">
      <alignment readingOrder="0"/>
    </xf>
    <xf borderId="0" fillId="0" fontId="1" numFmtId="164" xfId="0" applyAlignment="1" applyFont="1" applyNumberFormat="1">
      <alignment horizontal="right"/>
    </xf>
    <xf borderId="2" fillId="2" fontId="1" numFmtId="164" xfId="0" applyBorder="1" applyFont="1" applyNumberFormat="1"/>
    <xf borderId="2" fillId="0" fontId="1" numFmtId="165" xfId="0" applyBorder="1" applyFont="1" applyNumberFormat="1"/>
    <xf borderId="3" fillId="0" fontId="1" numFmtId="164" xfId="0" applyBorder="1" applyFont="1" applyNumberFormat="1"/>
    <xf borderId="2" fillId="0" fontId="1" numFmtId="164" xfId="0" applyAlignment="1" applyBorder="1" applyFont="1" applyNumberFormat="1">
      <alignment vertical="bottom"/>
    </xf>
    <xf borderId="3" fillId="0" fontId="1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4" fillId="0" fontId="1" numFmtId="164" xfId="0" applyAlignment="1" applyBorder="1" applyFont="1" applyNumberFormat="1">
      <alignment vertical="bottom"/>
    </xf>
    <xf borderId="5" fillId="0" fontId="1" numFmtId="164" xfId="0" applyAlignment="1" applyBorder="1" applyFont="1" applyNumberFormat="1">
      <alignment vertical="bottom"/>
    </xf>
    <xf borderId="0" fillId="0" fontId="2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165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7" fillId="0" fontId="1" numFmtId="164" xfId="0" applyAlignment="1" applyBorder="1" applyFont="1" applyNumberFormat="1">
      <alignment readingOrder="0"/>
    </xf>
    <xf borderId="7" fillId="0" fontId="2" numFmtId="0" xfId="0" applyBorder="1" applyFont="1"/>
    <xf borderId="7" fillId="0" fontId="1" numFmtId="164" xfId="0" applyBorder="1" applyFont="1" applyNumberFormat="1"/>
    <xf borderId="4" fillId="0" fontId="1" numFmtId="164" xfId="0" applyBorder="1" applyFont="1" applyNumberFormat="1"/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center"/>
    </xf>
    <xf borderId="1" fillId="2" fontId="3" numFmtId="0" xfId="0" applyAlignment="1" applyBorder="1" applyFont="1">
      <alignment horizontal="center"/>
    </xf>
    <xf borderId="0" fillId="0" fontId="1" numFmtId="0" xfId="0" applyFont="1"/>
    <xf borderId="1" fillId="2" fontId="1" numFmtId="0" xfId="0" applyBorder="1" applyFont="1"/>
    <xf borderId="0" fillId="0" fontId="2" numFmtId="0" xfId="0" applyFont="1"/>
    <xf borderId="6" fillId="0" fontId="1" numFmtId="164" xfId="0" applyBorder="1" applyFont="1" applyNumberFormat="1"/>
    <xf borderId="8" fillId="0" fontId="1" numFmtId="164" xfId="0" applyBorder="1" applyFont="1" applyNumberFormat="1"/>
    <xf borderId="9" fillId="0" fontId="1" numFmtId="164" xfId="0" applyBorder="1" applyFont="1" applyNumberFormat="1"/>
    <xf borderId="0" fillId="0" fontId="3" numFmtId="0" xfId="0" applyFont="1"/>
    <xf borderId="8" fillId="0" fontId="1" numFmtId="0" xfId="0" applyBorder="1" applyFont="1"/>
    <xf borderId="8" fillId="0" fontId="1" numFmtId="9" xfId="0" applyBorder="1" applyFont="1" applyNumberFormat="1"/>
    <xf borderId="10" fillId="0" fontId="3" numFmtId="0" xfId="0" applyBorder="1" applyFont="1"/>
    <xf borderId="11" fillId="2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1" numFmtId="166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5" fillId="0" fontId="1" numFmtId="0" xfId="0" applyAlignment="1" applyBorder="1" applyFont="1">
      <alignment readingOrder="0"/>
    </xf>
    <xf borderId="14" fillId="0" fontId="1" numFmtId="167" xfId="0" applyAlignment="1" applyBorder="1" applyFont="1" applyNumberFormat="1">
      <alignment readingOrder="0"/>
    </xf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2" fontId="1" numFmtId="0" xfId="0" applyBorder="1" applyFont="1"/>
    <xf borderId="18" fillId="0" fontId="1" numFmtId="0" xfId="0" applyBorder="1" applyFont="1"/>
    <xf borderId="1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.14"/>
    <col customWidth="1" min="3" max="3" width="10.57"/>
    <col customWidth="1" min="4" max="10" width="9.57"/>
    <col customWidth="1" min="11" max="11" width="10.86"/>
    <col customWidth="1" min="12" max="12" width="9.57"/>
    <col customWidth="1" min="13" max="13" width="10.43"/>
    <col customWidth="1" min="14" max="14" width="11.57"/>
    <col customWidth="1" min="15" max="15" width="2.14"/>
    <col customWidth="1" min="16" max="16" width="10.57"/>
    <col customWidth="1" min="17" max="17" width="9.14"/>
    <col customWidth="1" min="18" max="26" width="8.71"/>
  </cols>
  <sheetData>
    <row r="1"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0</v>
      </c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/>
      <c r="P3" s="3" t="s">
        <v>13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14</v>
      </c>
      <c r="B4" s="6"/>
      <c r="C4" s="7">
        <v>5449.55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6"/>
      <c r="C5" s="9">
        <v>710.88</v>
      </c>
      <c r="D5" s="9">
        <v>954.22</v>
      </c>
      <c r="E5" s="9">
        <v>4938.48</v>
      </c>
      <c r="F5" s="9">
        <v>4432.97</v>
      </c>
      <c r="G5" s="9">
        <v>9530.77</v>
      </c>
      <c r="H5" s="9">
        <v>5804.68</v>
      </c>
      <c r="I5" s="9">
        <v>8905.06</v>
      </c>
      <c r="J5" s="9">
        <v>6041.71</v>
      </c>
      <c r="K5" s="9">
        <v>6803.08</v>
      </c>
      <c r="L5" s="9">
        <v>6020.03</v>
      </c>
      <c r="M5" s="9">
        <v>2123.95</v>
      </c>
      <c r="N5" s="9">
        <v>67.09</v>
      </c>
      <c r="O5" s="6"/>
      <c r="P5" s="1">
        <f t="shared" ref="P5:P10" si="1">SUM(C5:N5)</f>
        <v>56332.92</v>
      </c>
      <c r="Q5" s="1"/>
      <c r="R5" s="1"/>
      <c r="S5" s="1"/>
      <c r="U5" s="1"/>
      <c r="V5" s="1"/>
      <c r="W5" s="1"/>
      <c r="X5" s="1"/>
      <c r="Y5" s="1"/>
      <c r="Z5" s="1"/>
    </row>
    <row r="6">
      <c r="A6" s="1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1">
        <f t="shared" si="1"/>
        <v>0</v>
      </c>
      <c r="Q6" s="1"/>
      <c r="R6" s="1"/>
      <c r="S6" s="1"/>
      <c r="T6" s="5"/>
      <c r="U6" s="1"/>
      <c r="V6" s="1"/>
      <c r="W6" s="1"/>
      <c r="X6" s="1"/>
      <c r="Y6" s="1"/>
      <c r="Z6" s="1"/>
    </row>
    <row r="7">
      <c r="A7" s="1"/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/>
      <c r="P7" s="1">
        <f t="shared" si="1"/>
        <v>0</v>
      </c>
      <c r="Q7" s="1"/>
      <c r="R7" s="1"/>
      <c r="S7" s="1"/>
      <c r="T7" s="5"/>
      <c r="U7" s="1"/>
      <c r="V7" s="1"/>
      <c r="W7" s="1"/>
      <c r="X7" s="1"/>
      <c r="Y7" s="1"/>
      <c r="Z7" s="1"/>
    </row>
    <row r="8">
      <c r="A8" s="1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6"/>
      <c r="P8" s="1">
        <f t="shared" si="1"/>
        <v>0</v>
      </c>
      <c r="Q8" s="1"/>
      <c r="R8" s="1"/>
      <c r="S8" s="1"/>
      <c r="T8" s="5"/>
      <c r="U8" s="1"/>
      <c r="V8" s="1"/>
      <c r="W8" s="1"/>
      <c r="X8" s="1"/>
      <c r="Y8" s="1"/>
      <c r="Z8" s="1"/>
    </row>
    <row r="9">
      <c r="A9" s="1" t="s">
        <v>16</v>
      </c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  <c r="P9" s="1">
        <f t="shared" si="1"/>
        <v>0</v>
      </c>
      <c r="Q9" s="1"/>
      <c r="R9" s="1"/>
      <c r="S9" s="1"/>
      <c r="T9" s="5"/>
      <c r="U9" s="1"/>
      <c r="V9" s="1"/>
      <c r="W9" s="1"/>
      <c r="X9" s="1"/>
      <c r="Y9" s="1"/>
      <c r="Z9" s="1"/>
    </row>
    <row r="10">
      <c r="A10" s="10" t="s">
        <v>17</v>
      </c>
      <c r="B10" s="6"/>
      <c r="C10" s="9"/>
      <c r="D10" s="9"/>
      <c r="E10" s="8"/>
      <c r="F10" s="8"/>
      <c r="G10" s="8"/>
      <c r="H10" s="9"/>
      <c r="I10" s="8"/>
      <c r="J10" s="8"/>
      <c r="K10" s="8"/>
      <c r="L10" s="8"/>
      <c r="M10" s="8"/>
      <c r="N10" s="8"/>
      <c r="O10" s="6"/>
      <c r="P10" s="1">
        <f t="shared" si="1"/>
        <v>0</v>
      </c>
      <c r="Q10" s="1"/>
      <c r="R10" s="1"/>
      <c r="S10" s="1"/>
      <c r="T10" s="5"/>
      <c r="U10" s="1"/>
      <c r="V10" s="1"/>
      <c r="W10" s="1"/>
      <c r="X10" s="1"/>
      <c r="Y10" s="1"/>
      <c r="Z10" s="1"/>
    </row>
    <row r="11">
      <c r="A11" s="1"/>
      <c r="B11" s="1"/>
      <c r="C11" s="1">
        <f>SUM(C4:C10)</f>
        <v>6160.43</v>
      </c>
      <c r="D11" s="1">
        <f t="shared" ref="D11:N11" si="2">SUM(D5:D10)</f>
        <v>954.22</v>
      </c>
      <c r="E11" s="1">
        <f t="shared" si="2"/>
        <v>4938.48</v>
      </c>
      <c r="F11" s="1">
        <f t="shared" si="2"/>
        <v>4432.97</v>
      </c>
      <c r="G11" s="1">
        <f t="shared" si="2"/>
        <v>9530.77</v>
      </c>
      <c r="H11" s="1">
        <f t="shared" si="2"/>
        <v>5804.68</v>
      </c>
      <c r="I11" s="1">
        <f t="shared" si="2"/>
        <v>8905.06</v>
      </c>
      <c r="J11" s="1">
        <f t="shared" si="2"/>
        <v>6041.71</v>
      </c>
      <c r="K11" s="1">
        <f t="shared" si="2"/>
        <v>6803.08</v>
      </c>
      <c r="L11" s="1">
        <f t="shared" si="2"/>
        <v>6020.03</v>
      </c>
      <c r="M11" s="1">
        <f t="shared" si="2"/>
        <v>2123.95</v>
      </c>
      <c r="N11" s="1">
        <f t="shared" si="2"/>
        <v>67.09</v>
      </c>
      <c r="O11" s="1"/>
      <c r="P11" s="1"/>
      <c r="Q11" s="1"/>
      <c r="R11" s="1"/>
      <c r="S11" s="1"/>
      <c r="T11" s="5"/>
      <c r="U11" s="1"/>
      <c r="V11" s="1"/>
      <c r="W11" s="1"/>
      <c r="X11" s="1"/>
      <c r="Y11" s="1"/>
      <c r="Z11" s="1"/>
    </row>
    <row r="12" ht="22.5" customHeight="1">
      <c r="A12" s="3" t="s">
        <v>0</v>
      </c>
      <c r="B12" s="3"/>
      <c r="C12" s="3" t="s">
        <v>1</v>
      </c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10</v>
      </c>
      <c r="M12" s="3" t="s">
        <v>11</v>
      </c>
      <c r="N12" s="3" t="s">
        <v>12</v>
      </c>
      <c r="O12" s="3"/>
      <c r="P12" s="3" t="s">
        <v>13</v>
      </c>
      <c r="Q12" s="4"/>
      <c r="R12" s="4"/>
      <c r="S12" s="4"/>
      <c r="T12" s="2"/>
      <c r="U12" s="4"/>
      <c r="V12" s="4"/>
      <c r="W12" s="4"/>
      <c r="X12" s="4"/>
      <c r="Y12" s="4"/>
      <c r="Z12" s="4"/>
    </row>
    <row r="13">
      <c r="A13" s="1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6"/>
      <c r="P13" s="1"/>
      <c r="Q13" s="1"/>
      <c r="R13" s="1"/>
      <c r="S13" s="1"/>
      <c r="T13" s="5"/>
      <c r="U13" s="1"/>
      <c r="V13" s="1"/>
      <c r="W13" s="1"/>
      <c r="X13" s="1"/>
      <c r="Y13" s="1"/>
      <c r="Z13" s="1"/>
    </row>
    <row r="14">
      <c r="A14" s="1" t="s">
        <v>18</v>
      </c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1">
        <f t="shared" ref="P14:P15" si="3">SUM(C14:N14)</f>
        <v>0</v>
      </c>
      <c r="Q14" s="1"/>
      <c r="R14" s="1"/>
      <c r="S14" s="1"/>
      <c r="T14" s="5"/>
      <c r="U14" s="1"/>
      <c r="V14" s="1"/>
      <c r="W14" s="1"/>
      <c r="X14" s="1"/>
      <c r="Y14" s="1"/>
      <c r="Z14" s="1"/>
    </row>
    <row r="15">
      <c r="A15" s="1"/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1">
        <f t="shared" si="3"/>
        <v>0</v>
      </c>
      <c r="Q15" s="1"/>
      <c r="R15" s="1"/>
      <c r="S15" s="1"/>
      <c r="T15" s="5">
        <v>58.85</v>
      </c>
      <c r="U15" s="1"/>
      <c r="V15" s="1"/>
      <c r="W15" s="1"/>
      <c r="X15" s="9"/>
      <c r="Y15" s="1"/>
      <c r="Z15" s="1"/>
    </row>
    <row r="16">
      <c r="A16" s="1"/>
      <c r="B16" s="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6"/>
      <c r="P16" s="6"/>
      <c r="Q16" s="1"/>
      <c r="R16" s="1"/>
      <c r="S16" s="1"/>
      <c r="T16" s="5">
        <v>25.0</v>
      </c>
      <c r="U16" s="1"/>
      <c r="V16" s="1"/>
      <c r="W16" s="1"/>
      <c r="X16" s="11"/>
      <c r="Y16" s="1"/>
      <c r="Z16" s="1"/>
    </row>
    <row r="17">
      <c r="A17" s="1" t="s">
        <v>19</v>
      </c>
      <c r="B17" s="6"/>
      <c r="C17" s="8"/>
      <c r="D17" s="8"/>
      <c r="E17" s="9"/>
      <c r="F17" s="9"/>
      <c r="G17" s="9">
        <v>280.88</v>
      </c>
      <c r="H17" s="9"/>
      <c r="I17" s="9">
        <v>83.85</v>
      </c>
      <c r="J17" s="9">
        <v>85.0</v>
      </c>
      <c r="K17" s="9">
        <v>89.61</v>
      </c>
      <c r="L17" s="9">
        <v>353.1</v>
      </c>
      <c r="M17" s="9">
        <v>48.15</v>
      </c>
      <c r="N17" s="9">
        <v>235.4</v>
      </c>
      <c r="O17" s="6"/>
      <c r="P17" s="1">
        <f>SUM(C17:N17)</f>
        <v>1175.99</v>
      </c>
      <c r="Q17" s="1"/>
      <c r="R17" s="1"/>
      <c r="S17" s="1"/>
      <c r="T17" s="1">
        <f>sum(T15:T16)</f>
        <v>83.85</v>
      </c>
      <c r="U17" s="1"/>
      <c r="V17" s="1"/>
      <c r="W17" s="1"/>
      <c r="X17" s="8"/>
      <c r="Y17" s="1"/>
      <c r="Z17" s="1"/>
    </row>
    <row r="18">
      <c r="A18" s="1"/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6"/>
      <c r="P18" s="6"/>
      <c r="Q18" s="1"/>
      <c r="R18" s="1"/>
      <c r="S18" s="1"/>
      <c r="T18" s="1"/>
      <c r="U18" s="1"/>
      <c r="V18" s="1"/>
      <c r="W18" s="1"/>
      <c r="X18" s="9"/>
      <c r="Y18" s="1"/>
      <c r="Z18" s="1"/>
    </row>
    <row r="19">
      <c r="A19" s="1" t="s">
        <v>20</v>
      </c>
      <c r="B19" s="6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6"/>
      <c r="P19" s="1">
        <f t="shared" ref="P19:P30" si="4">SUM(C19:N19)</f>
        <v>0</v>
      </c>
      <c r="Q19" s="1"/>
      <c r="R19" s="1"/>
      <c r="S19" s="1"/>
      <c r="T19" s="1"/>
      <c r="U19" s="1"/>
      <c r="V19" s="1"/>
      <c r="W19" s="1"/>
      <c r="X19" s="9"/>
      <c r="Y19" s="1"/>
      <c r="Z19" s="1"/>
    </row>
    <row r="20">
      <c r="A20" s="5" t="s">
        <v>21</v>
      </c>
      <c r="B20" s="6"/>
      <c r="C20" s="9">
        <v>260.0</v>
      </c>
      <c r="D20" s="9">
        <v>180.0</v>
      </c>
      <c r="E20" s="9">
        <v>1238.0</v>
      </c>
      <c r="F20" s="9">
        <v>1455.0</v>
      </c>
      <c r="G20" s="9">
        <v>2234.0</v>
      </c>
      <c r="H20" s="9">
        <v>2428.0</v>
      </c>
      <c r="I20" s="9">
        <v>2690.0</v>
      </c>
      <c r="J20" s="12">
        <v>1518.0</v>
      </c>
      <c r="K20" s="12">
        <v>2185.0</v>
      </c>
      <c r="L20" s="12">
        <v>1040.0</v>
      </c>
      <c r="M20" s="9"/>
      <c r="N20" s="9"/>
      <c r="O20" s="6"/>
      <c r="P20" s="1">
        <f t="shared" si="4"/>
        <v>15228</v>
      </c>
      <c r="Q20" s="1"/>
      <c r="R20" s="1"/>
      <c r="S20" s="1"/>
      <c r="T20" s="1"/>
      <c r="U20" s="1"/>
      <c r="V20" s="1"/>
      <c r="W20" s="1"/>
      <c r="X20" s="8"/>
      <c r="Y20" s="1"/>
      <c r="Z20" s="1"/>
    </row>
    <row r="21">
      <c r="A21" s="5" t="s">
        <v>22</v>
      </c>
      <c r="B21" s="6"/>
      <c r="C21" s="8"/>
      <c r="D21" s="8"/>
      <c r="E21" s="8"/>
      <c r="F21" s="9"/>
      <c r="G21" s="9">
        <v>250.0</v>
      </c>
      <c r="H21" s="9"/>
      <c r="I21" s="9"/>
      <c r="J21" s="9"/>
      <c r="K21" s="9"/>
      <c r="L21" s="9">
        <v>200.0</v>
      </c>
      <c r="M21" s="9"/>
      <c r="N21" s="8"/>
      <c r="O21" s="6"/>
      <c r="P21" s="1">
        <f t="shared" si="4"/>
        <v>450</v>
      </c>
      <c r="Q21" s="1"/>
      <c r="R21" s="1"/>
      <c r="S21" s="1"/>
      <c r="T21" s="1"/>
      <c r="U21" s="1"/>
      <c r="V21" s="1"/>
      <c r="W21" s="1"/>
      <c r="X21" s="8"/>
      <c r="Y21" s="1"/>
      <c r="Z21" s="1"/>
    </row>
    <row r="22">
      <c r="A22" s="5" t="s">
        <v>23</v>
      </c>
      <c r="B22" s="6"/>
      <c r="C22" s="8"/>
      <c r="D22" s="8"/>
      <c r="E22" s="8"/>
      <c r="F22" s="8"/>
      <c r="G22" s="8"/>
      <c r="H22" s="9"/>
      <c r="I22" s="8"/>
      <c r="J22" s="8"/>
      <c r="K22" s="8"/>
      <c r="L22" s="8"/>
      <c r="M22" s="9"/>
      <c r="N22" s="8"/>
      <c r="O22" s="6"/>
      <c r="P22" s="1">
        <f t="shared" si="4"/>
        <v>0</v>
      </c>
      <c r="Q22" s="1"/>
      <c r="R22" s="1"/>
      <c r="S22" s="1"/>
      <c r="T22" s="1"/>
      <c r="U22" s="1"/>
      <c r="V22" s="1"/>
      <c r="W22" s="1"/>
      <c r="X22" s="8"/>
      <c r="Y22" s="1"/>
      <c r="Z22" s="1"/>
    </row>
    <row r="23">
      <c r="A23" s="5" t="s">
        <v>24</v>
      </c>
      <c r="B23" s="6"/>
      <c r="C23" s="8"/>
      <c r="D23" s="8"/>
      <c r="E23" s="8"/>
      <c r="F23" s="13"/>
      <c r="G23" s="13"/>
      <c r="H23" s="9"/>
      <c r="I23" s="8"/>
      <c r="J23" s="8"/>
      <c r="K23" s="8"/>
      <c r="L23" s="9">
        <v>250.0</v>
      </c>
      <c r="M23" s="9"/>
      <c r="N23" s="8"/>
      <c r="O23" s="6"/>
      <c r="P23" s="1">
        <f t="shared" si="4"/>
        <v>250</v>
      </c>
      <c r="Q23" s="1"/>
      <c r="R23" s="1"/>
      <c r="S23" s="1"/>
      <c r="T23" s="1"/>
      <c r="U23" s="1"/>
      <c r="V23" s="1"/>
      <c r="W23" s="1"/>
      <c r="X23" s="8"/>
      <c r="Y23" s="1"/>
      <c r="Z23" s="1"/>
    </row>
    <row r="24">
      <c r="A24" s="5" t="s">
        <v>25</v>
      </c>
      <c r="B24" s="6"/>
      <c r="C24" s="8"/>
      <c r="D24" s="14"/>
      <c r="E24" s="14"/>
      <c r="F24" s="15"/>
      <c r="G24" s="15"/>
      <c r="H24" s="9">
        <v>475.0</v>
      </c>
      <c r="I24" s="9">
        <v>255.0</v>
      </c>
      <c r="J24" s="8"/>
      <c r="K24" s="9"/>
      <c r="L24" s="9">
        <v>165.0</v>
      </c>
      <c r="M24" s="12">
        <v>135.0</v>
      </c>
      <c r="N24" s="8"/>
      <c r="O24" s="6"/>
      <c r="P24" s="1">
        <f t="shared" si="4"/>
        <v>1030</v>
      </c>
      <c r="Q24" s="1"/>
      <c r="R24" s="1"/>
      <c r="S24" s="1"/>
      <c r="T24" s="1"/>
      <c r="U24" s="1"/>
      <c r="V24" s="1"/>
      <c r="W24" s="1"/>
      <c r="X24" s="9"/>
      <c r="Y24" s="1"/>
      <c r="Z24" s="1"/>
    </row>
    <row r="25">
      <c r="A25" s="16" t="s">
        <v>26</v>
      </c>
      <c r="B25" s="6"/>
      <c r="C25" s="8"/>
      <c r="D25" s="17"/>
      <c r="E25" s="17"/>
      <c r="F25" s="18"/>
      <c r="G25" s="18"/>
      <c r="H25" s="8"/>
      <c r="I25" s="8"/>
      <c r="J25" s="8"/>
      <c r="K25" s="9"/>
      <c r="L25" s="8"/>
      <c r="M25" s="8"/>
      <c r="N25" s="8"/>
      <c r="O25" s="6"/>
      <c r="P25" s="1">
        <f t="shared" si="4"/>
        <v>0</v>
      </c>
      <c r="Q25" s="1"/>
      <c r="R25" s="1"/>
      <c r="S25" s="1"/>
      <c r="T25" s="1"/>
      <c r="U25" s="1"/>
      <c r="V25" s="1"/>
      <c r="W25" s="1"/>
      <c r="X25" s="8"/>
      <c r="Y25" s="1"/>
      <c r="Z25" s="1"/>
    </row>
    <row r="26" ht="15.75" customHeight="1">
      <c r="A26" s="1" t="s">
        <v>27</v>
      </c>
      <c r="B26" s="6"/>
      <c r="C26" s="8"/>
      <c r="D26" s="8"/>
      <c r="E26" s="8"/>
      <c r="F26" s="8"/>
      <c r="G26" s="9"/>
      <c r="J26" s="8"/>
      <c r="K26" s="8"/>
      <c r="L26" s="8"/>
      <c r="M26" s="8"/>
      <c r="N26" s="8"/>
      <c r="O26" s="6"/>
      <c r="P26" s="1">
        <f t="shared" si="4"/>
        <v>0</v>
      </c>
      <c r="Q26" s="1"/>
      <c r="R26" s="1"/>
      <c r="S26" s="1"/>
      <c r="T26" s="1"/>
      <c r="U26" s="1"/>
      <c r="V26" s="1"/>
      <c r="W26" s="1"/>
      <c r="X26" s="8"/>
      <c r="Y26" s="1"/>
      <c r="Z26" s="1"/>
    </row>
    <row r="27" ht="15.75" customHeight="1">
      <c r="A27" s="1" t="s">
        <v>28</v>
      </c>
      <c r="B27" s="6"/>
      <c r="C27" s="8"/>
      <c r="D27" s="8"/>
      <c r="E27" s="8"/>
      <c r="F27" s="8"/>
      <c r="G27" s="9"/>
      <c r="H27" s="8"/>
      <c r="I27" s="9"/>
      <c r="J27" s="8"/>
      <c r="K27" s="9"/>
      <c r="L27" s="9"/>
      <c r="M27" s="9"/>
      <c r="N27" s="8"/>
      <c r="O27" s="6"/>
      <c r="P27" s="1">
        <f t="shared" si="4"/>
        <v>0</v>
      </c>
      <c r="Q27" s="1"/>
      <c r="R27" s="1"/>
      <c r="S27" s="1"/>
      <c r="T27" s="1"/>
      <c r="U27" s="1"/>
      <c r="V27" s="1"/>
      <c r="W27" s="1"/>
      <c r="X27" s="8"/>
      <c r="Y27" s="1"/>
      <c r="Z27" s="1"/>
    </row>
    <row r="28" ht="15.75" customHeight="1">
      <c r="A28" s="1" t="s">
        <v>29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1">
        <f t="shared" si="4"/>
        <v>0</v>
      </c>
      <c r="Q28" s="1"/>
      <c r="R28" s="1"/>
      <c r="S28" s="1"/>
      <c r="T28" s="1"/>
      <c r="U28" s="1"/>
      <c r="V28" s="1"/>
      <c r="W28" s="1"/>
      <c r="X28" s="8"/>
      <c r="Y28" s="1"/>
      <c r="Z28" s="1"/>
    </row>
    <row r="29" ht="15.75" customHeight="1">
      <c r="A29" s="1" t="s">
        <v>30</v>
      </c>
      <c r="B29" s="6"/>
      <c r="C29" s="9"/>
      <c r="D29" s="8"/>
      <c r="E29" s="9">
        <v>2000.0</v>
      </c>
      <c r="F29" s="9"/>
      <c r="G29" s="8"/>
      <c r="H29" s="8"/>
      <c r="I29" s="8"/>
      <c r="J29" s="8"/>
      <c r="K29" s="8"/>
      <c r="L29" s="8"/>
      <c r="M29" s="9">
        <v>2375.59</v>
      </c>
      <c r="N29" s="8"/>
      <c r="O29" s="6"/>
      <c r="P29" s="1">
        <f t="shared" si="4"/>
        <v>4375.59</v>
      </c>
      <c r="Q29" s="1" t="s">
        <v>31</v>
      </c>
      <c r="R29" s="1"/>
      <c r="S29" s="1"/>
      <c r="T29" s="1"/>
      <c r="U29" s="1"/>
      <c r="V29" s="1"/>
      <c r="W29" s="1"/>
      <c r="X29" s="11"/>
      <c r="Y29" s="1"/>
      <c r="Z29" s="1"/>
    </row>
    <row r="30" ht="15.75" customHeight="1">
      <c r="A30" s="1"/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6"/>
      <c r="P30" s="1">
        <f t="shared" si="4"/>
        <v>0</v>
      </c>
      <c r="Q30" s="1"/>
      <c r="R30" s="1"/>
      <c r="S30" s="1"/>
      <c r="T30" s="1"/>
      <c r="U30" s="1"/>
      <c r="V30" s="1"/>
      <c r="W30" s="1"/>
      <c r="X30" s="8"/>
      <c r="Y30" s="1"/>
      <c r="Z30" s="1"/>
    </row>
    <row r="31" ht="15.75" customHeight="1">
      <c r="A31" s="1"/>
      <c r="B31" s="6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6"/>
      <c r="P31" s="6"/>
      <c r="Q31" s="1"/>
      <c r="R31" s="1"/>
      <c r="S31" s="1"/>
      <c r="T31" s="1"/>
      <c r="U31" s="1"/>
      <c r="V31" s="1"/>
      <c r="W31" s="1"/>
      <c r="X31" s="19"/>
      <c r="Y31" s="1"/>
      <c r="Z31" s="1"/>
    </row>
    <row r="32" ht="15.75" customHeight="1">
      <c r="A32" s="1" t="s">
        <v>32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6"/>
      <c r="P32" s="1">
        <f t="shared" ref="P32:P46" si="5">SUM(C32:N32)</f>
        <v>0</v>
      </c>
      <c r="Q32" s="1"/>
      <c r="R32" s="1"/>
      <c r="S32" s="1"/>
      <c r="T32" s="1"/>
      <c r="U32" s="1"/>
      <c r="V32" s="1"/>
      <c r="W32" s="1"/>
      <c r="X32" s="8"/>
      <c r="Y32" s="1"/>
      <c r="Z32" s="1"/>
    </row>
    <row r="33" ht="15.75" customHeight="1">
      <c r="A33" s="1" t="s">
        <v>33</v>
      </c>
      <c r="B33" s="6"/>
      <c r="C33" s="8"/>
      <c r="D33" s="9"/>
      <c r="E33" s="9">
        <v>370.0</v>
      </c>
      <c r="F33" s="9">
        <v>58.23</v>
      </c>
      <c r="G33" s="9">
        <v>277.75</v>
      </c>
      <c r="H33" s="9">
        <v>675.11</v>
      </c>
      <c r="I33" s="19">
        <v>152.0</v>
      </c>
      <c r="J33" s="20">
        <v>151.92</v>
      </c>
      <c r="K33" s="12">
        <v>7.56</v>
      </c>
      <c r="L33" s="9"/>
      <c r="M33" s="9"/>
      <c r="N33" s="9"/>
      <c r="O33" s="6"/>
      <c r="P33" s="1">
        <f t="shared" si="5"/>
        <v>1692.57</v>
      </c>
      <c r="Q33" s="1"/>
      <c r="R33" s="1"/>
      <c r="S33" s="1"/>
      <c r="T33" s="1"/>
      <c r="U33" s="1"/>
      <c r="V33" s="1"/>
      <c r="W33" s="1"/>
      <c r="X33" s="9"/>
      <c r="Y33" s="1"/>
      <c r="Z33" s="1"/>
    </row>
    <row r="34" ht="15.75" customHeight="1">
      <c r="A34" s="1" t="s">
        <v>34</v>
      </c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6"/>
      <c r="P34" s="1">
        <f t="shared" si="5"/>
        <v>0</v>
      </c>
      <c r="Q34" s="1"/>
      <c r="R34" s="1"/>
      <c r="S34" s="1"/>
      <c r="T34" s="1"/>
      <c r="U34" s="1"/>
      <c r="V34" s="1"/>
      <c r="W34" s="1"/>
      <c r="X34" s="9"/>
      <c r="Y34" s="1"/>
      <c r="Z34" s="1"/>
    </row>
    <row r="35" ht="15.75" customHeight="1">
      <c r="A35" s="5" t="s">
        <v>35</v>
      </c>
      <c r="B35" s="6"/>
      <c r="C35" s="9">
        <v>19.92</v>
      </c>
      <c r="D35" s="9">
        <v>54.95</v>
      </c>
      <c r="E35" s="9">
        <v>64.3</v>
      </c>
      <c r="F35" s="9">
        <v>251.9</v>
      </c>
      <c r="G35" s="9">
        <v>238.44</v>
      </c>
      <c r="H35" s="9">
        <v>397.25</v>
      </c>
      <c r="I35" s="9">
        <v>312.23</v>
      </c>
      <c r="J35" s="9">
        <v>327.52</v>
      </c>
      <c r="K35" s="9">
        <v>308.69</v>
      </c>
      <c r="L35" s="9">
        <v>289.41</v>
      </c>
      <c r="M35" s="9">
        <v>302.96</v>
      </c>
      <c r="N35" s="9">
        <v>157.96</v>
      </c>
      <c r="O35" s="6"/>
      <c r="P35" s="1">
        <f t="shared" si="5"/>
        <v>2725.53</v>
      </c>
      <c r="Q35" s="1"/>
      <c r="R35" s="1"/>
      <c r="S35" s="1"/>
      <c r="T35" s="1"/>
      <c r="U35" s="1"/>
      <c r="V35" s="1"/>
      <c r="W35" s="1"/>
      <c r="X35" s="9"/>
      <c r="Y35" s="1"/>
      <c r="Z35" s="1"/>
    </row>
    <row r="36" ht="15.75" customHeight="1">
      <c r="A36" s="5" t="s">
        <v>36</v>
      </c>
      <c r="B36" s="6"/>
      <c r="C36" s="9">
        <v>99.0</v>
      </c>
      <c r="D36" s="9">
        <v>99.0</v>
      </c>
      <c r="E36" s="9">
        <v>99.0</v>
      </c>
      <c r="F36" s="9">
        <v>99.0</v>
      </c>
      <c r="G36" s="9">
        <v>99.0</v>
      </c>
      <c r="H36" s="9">
        <v>99.0</v>
      </c>
      <c r="I36" s="9">
        <v>99.0</v>
      </c>
      <c r="J36" s="9">
        <v>99.0</v>
      </c>
      <c r="K36" s="9">
        <v>99.0</v>
      </c>
      <c r="L36" s="9">
        <v>99.0</v>
      </c>
      <c r="M36" s="9">
        <v>99.0</v>
      </c>
      <c r="N36" s="9">
        <v>99.0</v>
      </c>
      <c r="O36" s="6"/>
      <c r="P36" s="1">
        <f t="shared" si="5"/>
        <v>1188</v>
      </c>
      <c r="Q36" s="1"/>
      <c r="R36" s="1"/>
      <c r="S36" s="1"/>
      <c r="T36" s="1"/>
      <c r="U36" s="1"/>
      <c r="V36" s="1"/>
      <c r="W36" s="1"/>
      <c r="X36" s="8"/>
      <c r="Y36" s="1"/>
      <c r="Z36" s="1"/>
    </row>
    <row r="37" ht="15.75" customHeight="1">
      <c r="A37" s="5" t="s">
        <v>37</v>
      </c>
      <c r="B37" s="6"/>
      <c r="C37" s="8"/>
      <c r="D37" s="9"/>
      <c r="E37" s="16">
        <v>243.83</v>
      </c>
      <c r="F37" s="9">
        <v>21.39</v>
      </c>
      <c r="G37" s="9">
        <v>813.25</v>
      </c>
      <c r="H37" s="9">
        <v>569.27</v>
      </c>
      <c r="I37" s="9">
        <v>74.89</v>
      </c>
      <c r="J37" s="9"/>
      <c r="K37" s="12">
        <v>66.86</v>
      </c>
      <c r="L37" s="12">
        <v>570.74</v>
      </c>
      <c r="M37" s="9"/>
      <c r="N37" s="9"/>
      <c r="O37" s="6"/>
      <c r="P37" s="1">
        <f t="shared" si="5"/>
        <v>2360.23</v>
      </c>
      <c r="Q37" s="1"/>
      <c r="R37" s="1"/>
      <c r="S37" s="1"/>
      <c r="T37" s="1"/>
      <c r="U37" s="1"/>
      <c r="V37" s="1"/>
      <c r="W37" s="1"/>
      <c r="X37" s="9"/>
      <c r="Y37" s="1"/>
      <c r="Z37" s="1"/>
    </row>
    <row r="38" ht="15.75" customHeight="1">
      <c r="A38" s="1" t="s">
        <v>38</v>
      </c>
      <c r="B38" s="6"/>
      <c r="C38" s="8"/>
      <c r="D38" s="9"/>
      <c r="E38" s="9">
        <v>1223.6</v>
      </c>
      <c r="F38" s="8"/>
      <c r="G38" s="9">
        <v>1010.0</v>
      </c>
      <c r="H38" s="8"/>
      <c r="I38" s="8"/>
      <c r="J38" s="9">
        <v>1010.0</v>
      </c>
      <c r="K38" s="8"/>
      <c r="L38" s="8"/>
      <c r="M38" s="9">
        <v>1010.0</v>
      </c>
      <c r="N38" s="8"/>
      <c r="O38" s="6"/>
      <c r="P38" s="1">
        <f t="shared" si="5"/>
        <v>4253.6</v>
      </c>
      <c r="Q38" s="1"/>
      <c r="R38" s="1"/>
      <c r="S38" s="1"/>
      <c r="T38" s="5"/>
      <c r="U38" s="1"/>
      <c r="V38" s="1"/>
      <c r="W38" s="1"/>
      <c r="X38" s="9"/>
      <c r="Y38" s="1"/>
      <c r="Z38" s="1"/>
    </row>
    <row r="39" ht="15.75" customHeight="1">
      <c r="A39" s="1" t="s">
        <v>39</v>
      </c>
      <c r="B39" s="6"/>
      <c r="C39" s="8"/>
      <c r="D39" s="9"/>
      <c r="E39" s="8"/>
      <c r="F39" s="9"/>
      <c r="G39" s="9"/>
      <c r="H39" s="9"/>
      <c r="I39" s="9"/>
      <c r="J39" s="9"/>
      <c r="K39" s="8"/>
      <c r="L39" s="9"/>
      <c r="M39" s="8"/>
      <c r="N39" s="8"/>
      <c r="O39" s="6"/>
      <c r="P39" s="1">
        <f t="shared" si="5"/>
        <v>0</v>
      </c>
      <c r="Q39" s="1"/>
      <c r="R39" s="1"/>
      <c r="S39" s="1"/>
      <c r="T39" s="5"/>
      <c r="U39" s="1"/>
      <c r="V39" s="1"/>
      <c r="W39" s="1"/>
      <c r="X39" s="9"/>
      <c r="Y39" s="1"/>
      <c r="Z39" s="1"/>
    </row>
    <row r="40" ht="15.75" customHeight="1">
      <c r="A40" s="5" t="s">
        <v>40</v>
      </c>
      <c r="B40" s="6"/>
      <c r="C40" s="9">
        <v>35.06</v>
      </c>
      <c r="D40" s="21">
        <v>102.47</v>
      </c>
      <c r="E40" s="9">
        <v>553.79</v>
      </c>
      <c r="F40" s="21">
        <v>595.32</v>
      </c>
      <c r="G40" s="9">
        <v>682.87</v>
      </c>
      <c r="H40" s="9">
        <v>776.27</v>
      </c>
      <c r="I40" s="9">
        <v>689.48</v>
      </c>
      <c r="J40" s="21">
        <v>274.46999999999997</v>
      </c>
      <c r="K40" s="12">
        <v>346.83000000000004</v>
      </c>
      <c r="L40" s="12">
        <v>463.32</v>
      </c>
      <c r="M40" s="12">
        <v>116.00999999999999</v>
      </c>
      <c r="N40" s="9"/>
      <c r="O40" s="6"/>
      <c r="P40" s="1">
        <f t="shared" si="5"/>
        <v>4635.89</v>
      </c>
      <c r="Q40" s="1"/>
      <c r="R40" s="1"/>
      <c r="S40" s="1"/>
      <c r="T40" s="1"/>
      <c r="U40" s="1"/>
      <c r="V40" s="1"/>
      <c r="W40" s="1"/>
      <c r="Y40" s="1"/>
      <c r="Z40" s="1"/>
    </row>
    <row r="41" ht="15.75" customHeight="1">
      <c r="A41" s="16" t="s">
        <v>41</v>
      </c>
      <c r="B41" s="6"/>
      <c r="C41" s="8"/>
      <c r="E41" s="9"/>
      <c r="F41" s="9">
        <v>119.99</v>
      </c>
      <c r="G41" s="8"/>
      <c r="H41" s="8"/>
      <c r="I41" s="9"/>
      <c r="J41" s="8"/>
      <c r="K41" s="8"/>
      <c r="L41" s="8"/>
      <c r="M41" s="8"/>
      <c r="N41" s="8"/>
      <c r="O41" s="6"/>
      <c r="P41" s="1">
        <f t="shared" si="5"/>
        <v>119.99</v>
      </c>
      <c r="Q41" s="1"/>
      <c r="R41" s="1"/>
      <c r="S41" s="1"/>
      <c r="T41" s="1"/>
      <c r="U41" s="1"/>
      <c r="V41" s="1"/>
      <c r="W41" s="1"/>
      <c r="X41" s="8"/>
      <c r="Y41" s="1"/>
      <c r="Z41" s="1"/>
    </row>
    <row r="42" ht="15.75" customHeight="1">
      <c r="A42" s="5" t="s">
        <v>42</v>
      </c>
      <c r="B42" s="6"/>
      <c r="C42" s="8"/>
      <c r="D42" s="8"/>
      <c r="E42" s="8"/>
      <c r="F42" s="9">
        <v>123.64</v>
      </c>
      <c r="G42" s="8"/>
      <c r="H42" s="9">
        <v>2000.0</v>
      </c>
      <c r="I42" s="16">
        <v>3258.73</v>
      </c>
      <c r="J42" s="8"/>
      <c r="K42" s="8"/>
      <c r="L42" s="9">
        <v>319.26</v>
      </c>
      <c r="M42" s="9">
        <v>209.0</v>
      </c>
      <c r="N42" s="8"/>
      <c r="O42" s="6"/>
      <c r="P42" s="1">
        <f t="shared" si="5"/>
        <v>5910.63</v>
      </c>
      <c r="Q42" s="1"/>
      <c r="R42" s="1"/>
      <c r="S42" s="1"/>
      <c r="T42" s="1"/>
      <c r="U42" s="1"/>
      <c r="V42" s="1"/>
      <c r="W42" s="1"/>
      <c r="X42" s="8"/>
      <c r="Y42" s="1"/>
      <c r="Z42" s="1"/>
    </row>
    <row r="43" ht="15.75" customHeight="1">
      <c r="A43" s="1" t="s">
        <v>43</v>
      </c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6"/>
      <c r="P43" s="1">
        <f t="shared" si="5"/>
        <v>0</v>
      </c>
      <c r="Q43" s="1"/>
      <c r="R43" s="1"/>
      <c r="S43" s="1"/>
      <c r="T43" s="1"/>
      <c r="U43" s="1"/>
      <c r="V43" s="1"/>
      <c r="W43" s="1"/>
      <c r="X43" s="8"/>
      <c r="Y43" s="1"/>
      <c r="Z43" s="1"/>
    </row>
    <row r="44" ht="15.75" customHeight="1">
      <c r="A44" s="5" t="s">
        <v>44</v>
      </c>
      <c r="B44" s="6"/>
      <c r="C44" s="9"/>
      <c r="D44" s="8"/>
      <c r="E44" s="8"/>
      <c r="F44" s="8"/>
      <c r="G44" s="8"/>
      <c r="H44" s="8"/>
      <c r="I44" s="8"/>
      <c r="J44" s="8"/>
      <c r="K44" s="8"/>
      <c r="L44" s="8"/>
      <c r="M44" s="8"/>
      <c r="N44" s="9">
        <v>529.0</v>
      </c>
      <c r="O44" s="6"/>
      <c r="P44" s="1">
        <f t="shared" si="5"/>
        <v>529</v>
      </c>
      <c r="Q44" s="1"/>
      <c r="R44" s="1"/>
      <c r="S44" s="1"/>
      <c r="T44" s="1"/>
      <c r="U44" s="1"/>
      <c r="V44" s="1"/>
      <c r="W44" s="1"/>
      <c r="X44" s="9"/>
      <c r="Y44" s="1"/>
      <c r="Z44" s="1"/>
    </row>
    <row r="45" ht="15.75" customHeight="1">
      <c r="A45" s="5" t="s">
        <v>45</v>
      </c>
      <c r="B45" s="6"/>
      <c r="C45" s="8"/>
      <c r="D45" s="8"/>
      <c r="E45" s="8"/>
      <c r="F45" s="8"/>
      <c r="G45" s="9">
        <v>64.89</v>
      </c>
      <c r="H45" s="9">
        <v>1.62</v>
      </c>
      <c r="I45" s="8"/>
      <c r="J45" s="8"/>
      <c r="K45" s="8"/>
      <c r="L45" s="8"/>
      <c r="M45" s="8"/>
      <c r="N45" s="8"/>
      <c r="O45" s="6"/>
      <c r="P45" s="1">
        <f t="shared" si="5"/>
        <v>66.51</v>
      </c>
      <c r="Q45" s="1"/>
      <c r="R45" s="1"/>
      <c r="S45" s="1"/>
      <c r="T45" s="1"/>
      <c r="U45" s="1"/>
      <c r="V45" s="1"/>
      <c r="W45" s="1"/>
      <c r="X45" s="8"/>
      <c r="Y45" s="1"/>
      <c r="Z45" s="1"/>
    </row>
    <row r="46" ht="15.75" customHeight="1">
      <c r="A46" s="5" t="s">
        <v>46</v>
      </c>
      <c r="B46" s="6"/>
      <c r="C46" s="8"/>
      <c r="D46" s="8"/>
      <c r="E46" s="8"/>
      <c r="F46" s="8"/>
      <c r="G46" s="8"/>
      <c r="H46" s="8"/>
      <c r="I46" s="9">
        <v>55.16</v>
      </c>
      <c r="J46" s="8"/>
      <c r="K46" s="8"/>
      <c r="L46" s="8"/>
      <c r="M46" s="9">
        <v>22.17</v>
      </c>
      <c r="N46" s="9">
        <v>50.34</v>
      </c>
      <c r="O46" s="6"/>
      <c r="P46" s="1">
        <f t="shared" si="5"/>
        <v>127.67</v>
      </c>
      <c r="Q46" s="1"/>
      <c r="R46" s="1"/>
      <c r="S46" s="1"/>
      <c r="T46" s="1"/>
      <c r="U46" s="1"/>
      <c r="V46" s="1"/>
      <c r="W46" s="1"/>
      <c r="X46" s="8"/>
      <c r="Y46" s="1"/>
      <c r="Z46" s="1"/>
    </row>
    <row r="47" ht="15.75" customHeight="1">
      <c r="A47" s="1" t="s">
        <v>47</v>
      </c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6"/>
      <c r="P47" s="1"/>
      <c r="Q47" s="1"/>
      <c r="R47" s="1"/>
      <c r="S47" s="1"/>
      <c r="T47" s="1"/>
      <c r="U47" s="1"/>
      <c r="V47" s="1"/>
      <c r="W47" s="1"/>
      <c r="X47" s="8"/>
      <c r="Y47" s="1"/>
      <c r="Z47" s="1"/>
    </row>
    <row r="48" ht="15.75" customHeight="1">
      <c r="A48" s="1" t="s">
        <v>48</v>
      </c>
      <c r="B48" s="6"/>
      <c r="C48" s="8"/>
      <c r="D48" s="9"/>
      <c r="E48" s="8"/>
      <c r="F48" s="8"/>
      <c r="G48" s="8"/>
      <c r="H48" s="8"/>
      <c r="I48" s="8"/>
      <c r="J48" s="8"/>
      <c r="K48" s="8"/>
      <c r="L48" s="8"/>
      <c r="M48" s="8"/>
      <c r="N48" s="8"/>
      <c r="O48" s="6"/>
      <c r="P48" s="1">
        <f t="shared" ref="P48:P58" si="6">SUM(C48:N48)</f>
        <v>0</v>
      </c>
      <c r="Q48" s="1"/>
      <c r="R48" s="1"/>
      <c r="S48" s="1"/>
      <c r="T48" s="1"/>
      <c r="U48" s="1"/>
      <c r="V48" s="1"/>
      <c r="W48" s="1"/>
      <c r="X48" s="8"/>
      <c r="Y48" s="1"/>
      <c r="Z48" s="1"/>
    </row>
    <row r="49" ht="15.75" customHeight="1">
      <c r="A49" s="16" t="s">
        <v>49</v>
      </c>
      <c r="B49" s="6"/>
      <c r="C49" s="8"/>
      <c r="E49" s="8"/>
      <c r="F49" s="8"/>
      <c r="G49" s="8"/>
      <c r="H49" s="9"/>
      <c r="I49" s="8"/>
      <c r="J49" s="8"/>
      <c r="K49" s="8"/>
      <c r="L49" s="8"/>
      <c r="M49" s="8"/>
      <c r="N49" s="8"/>
      <c r="O49" s="6"/>
      <c r="P49" s="1">
        <f t="shared" si="6"/>
        <v>0</v>
      </c>
      <c r="Q49" s="1"/>
      <c r="R49" s="1"/>
      <c r="S49" s="1"/>
      <c r="T49" s="1"/>
      <c r="U49" s="1"/>
      <c r="V49" s="1"/>
      <c r="W49" s="1"/>
      <c r="X49" s="8"/>
      <c r="Y49" s="1"/>
      <c r="Z49" s="1"/>
    </row>
    <row r="50" ht="15.75" customHeight="1">
      <c r="A50" s="1" t="s">
        <v>50</v>
      </c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6"/>
      <c r="P50" s="1">
        <f t="shared" si="6"/>
        <v>0</v>
      </c>
      <c r="Q50" s="1"/>
      <c r="R50" s="1"/>
      <c r="S50" s="1"/>
      <c r="T50" s="1"/>
      <c r="U50" s="1"/>
      <c r="V50" s="1"/>
      <c r="W50" s="1"/>
      <c r="X50" s="8"/>
      <c r="Y50" s="1"/>
      <c r="Z50" s="1"/>
    </row>
    <row r="51" ht="15.75" customHeight="1">
      <c r="A51" s="1" t="s">
        <v>51</v>
      </c>
      <c r="B51" s="6"/>
      <c r="C51" s="8"/>
      <c r="D51" s="8"/>
      <c r="E51" s="9"/>
      <c r="F51" s="9"/>
      <c r="G51" s="8"/>
      <c r="H51" s="8"/>
      <c r="I51" s="8"/>
      <c r="J51" s="8"/>
      <c r="K51" s="8"/>
      <c r="L51" s="8"/>
      <c r="M51" s="8"/>
      <c r="N51" s="8"/>
      <c r="O51" s="6"/>
      <c r="P51" s="1">
        <f t="shared" si="6"/>
        <v>0</v>
      </c>
      <c r="Q51" s="1"/>
      <c r="R51" s="1"/>
      <c r="S51" s="1"/>
      <c r="T51" s="1"/>
      <c r="U51" s="1"/>
      <c r="V51" s="1"/>
      <c r="W51" s="1"/>
      <c r="X51" s="9"/>
      <c r="Y51" s="1"/>
      <c r="Z51" s="1"/>
    </row>
    <row r="52" ht="15.75" customHeight="1">
      <c r="A52" s="1" t="s">
        <v>52</v>
      </c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6"/>
      <c r="P52" s="1">
        <f t="shared" si="6"/>
        <v>0</v>
      </c>
      <c r="Q52" s="1"/>
      <c r="R52" s="1"/>
      <c r="S52" s="1"/>
      <c r="T52" s="1"/>
      <c r="U52" s="1"/>
      <c r="V52" s="1"/>
      <c r="W52" s="1"/>
      <c r="X52" s="8"/>
      <c r="Y52" s="1"/>
      <c r="Z52" s="1"/>
    </row>
    <row r="53" ht="15.75" customHeight="1">
      <c r="A53" s="5" t="s">
        <v>53</v>
      </c>
      <c r="B53" s="6"/>
      <c r="C53" s="9">
        <v>13.0</v>
      </c>
      <c r="D53" s="9">
        <v>13.0</v>
      </c>
      <c r="E53" s="9">
        <v>13.0</v>
      </c>
      <c r="F53" s="9">
        <v>13.0</v>
      </c>
      <c r="G53" s="9">
        <v>13.0</v>
      </c>
      <c r="H53" s="9">
        <v>13.0</v>
      </c>
      <c r="I53" s="9">
        <v>13.0</v>
      </c>
      <c r="J53" s="9">
        <v>13.0</v>
      </c>
      <c r="K53" s="9">
        <v>13.0</v>
      </c>
      <c r="L53" s="9">
        <v>13.0</v>
      </c>
      <c r="M53" s="9">
        <v>13.0</v>
      </c>
      <c r="N53" s="9">
        <v>13.0</v>
      </c>
      <c r="O53" s="6"/>
      <c r="P53" s="1">
        <f t="shared" si="6"/>
        <v>156</v>
      </c>
      <c r="Q53" s="1"/>
      <c r="R53" s="1"/>
      <c r="S53" s="1"/>
      <c r="T53" s="1"/>
      <c r="U53" s="1"/>
      <c r="V53" s="1"/>
      <c r="W53" s="1"/>
      <c r="X53" s="8"/>
      <c r="Y53" s="1"/>
      <c r="Z53" s="1"/>
    </row>
    <row r="54" ht="15.75" customHeight="1">
      <c r="A54" s="1" t="s">
        <v>54</v>
      </c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6"/>
      <c r="P54" s="1">
        <f t="shared" si="6"/>
        <v>0</v>
      </c>
      <c r="Q54" s="1"/>
      <c r="R54" s="1"/>
      <c r="S54" s="1"/>
      <c r="T54" s="1"/>
      <c r="U54" s="1"/>
      <c r="V54" s="1"/>
      <c r="W54" s="1"/>
      <c r="X54" s="8"/>
      <c r="Y54" s="1"/>
      <c r="Z54" s="1"/>
    </row>
    <row r="55" ht="15.75" customHeight="1">
      <c r="A55" s="1" t="s">
        <v>55</v>
      </c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  <c r="P55" s="1">
        <f t="shared" si="6"/>
        <v>0</v>
      </c>
      <c r="Q55" s="1"/>
      <c r="R55" s="1"/>
      <c r="S55" s="1"/>
      <c r="T55" s="5"/>
      <c r="U55" s="1"/>
      <c r="V55" s="1"/>
      <c r="W55" s="1"/>
      <c r="X55" s="8"/>
      <c r="Y55" s="1"/>
      <c r="Z55" s="1"/>
    </row>
    <row r="56" ht="15.75" customHeight="1">
      <c r="A56" s="1" t="s">
        <v>56</v>
      </c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1">
        <f t="shared" si="6"/>
        <v>0</v>
      </c>
      <c r="Q56" s="1"/>
      <c r="R56" s="1"/>
      <c r="S56" s="1"/>
      <c r="T56" s="5"/>
      <c r="U56" s="1"/>
      <c r="V56" s="1"/>
      <c r="W56" s="1"/>
      <c r="X56" s="19"/>
      <c r="Y56" s="1"/>
      <c r="Z56" s="1"/>
    </row>
    <row r="57" ht="15.75" customHeight="1">
      <c r="A57" s="16" t="s">
        <v>57</v>
      </c>
      <c r="B57" s="6"/>
      <c r="C57" s="8"/>
      <c r="D57" s="8"/>
      <c r="E57" s="8"/>
      <c r="F57" s="8"/>
      <c r="G57" s="8"/>
      <c r="H57" s="9"/>
      <c r="I57" s="8"/>
      <c r="J57" s="8"/>
      <c r="K57" s="8"/>
      <c r="L57" s="8"/>
      <c r="M57" s="8"/>
      <c r="N57" s="8"/>
      <c r="O57" s="6"/>
      <c r="P57" s="1">
        <f t="shared" si="6"/>
        <v>0</v>
      </c>
      <c r="Q57" s="1"/>
      <c r="R57" s="1"/>
      <c r="S57" s="1"/>
      <c r="T57" s="1"/>
      <c r="U57" s="1"/>
      <c r="V57" s="1"/>
      <c r="W57" s="1"/>
      <c r="X57" s="8"/>
      <c r="Y57" s="1"/>
      <c r="Z57" s="1"/>
    </row>
    <row r="58" ht="15.75" customHeight="1">
      <c r="A58" s="1" t="s">
        <v>58</v>
      </c>
      <c r="B58" s="6"/>
      <c r="C58" s="9"/>
      <c r="D58" s="9">
        <v>21.73</v>
      </c>
      <c r="E58" s="9"/>
      <c r="F58" s="9">
        <v>330.29</v>
      </c>
      <c r="G58" s="9">
        <v>216.27</v>
      </c>
      <c r="H58" s="9"/>
      <c r="I58" s="19">
        <v>1064.81</v>
      </c>
      <c r="J58" s="9">
        <v>462.62</v>
      </c>
      <c r="K58" s="9"/>
      <c r="L58" s="22">
        <v>793.38</v>
      </c>
      <c r="M58" s="9">
        <v>483.74</v>
      </c>
      <c r="N58" s="9"/>
      <c r="O58" s="6"/>
      <c r="P58" s="1">
        <f t="shared" si="6"/>
        <v>3372.84</v>
      </c>
      <c r="Q58" s="1"/>
      <c r="R58" s="1"/>
      <c r="S58" s="1"/>
      <c r="T58" s="1"/>
      <c r="U58" s="1"/>
      <c r="V58" s="1"/>
      <c r="W58" s="1"/>
      <c r="X58" s="8"/>
      <c r="Y58" s="1"/>
      <c r="Z58" s="1"/>
    </row>
    <row r="59" ht="15.75" customHeight="1">
      <c r="A59" s="5" t="s">
        <v>27</v>
      </c>
      <c r="B59" s="6"/>
      <c r="C59" s="8"/>
      <c r="D59" s="8"/>
      <c r="E59" s="8"/>
      <c r="F59" s="8"/>
      <c r="G59" s="9">
        <v>133.96</v>
      </c>
      <c r="H59" s="9"/>
      <c r="I59" s="8"/>
      <c r="J59" s="8"/>
      <c r="K59" s="8"/>
      <c r="L59" s="8"/>
      <c r="M59" s="8"/>
      <c r="N59" s="8"/>
      <c r="O59" s="6"/>
      <c r="P59" s="1"/>
      <c r="Q59" s="1"/>
      <c r="R59" s="1"/>
      <c r="S59" s="1"/>
      <c r="T59" s="1"/>
      <c r="U59" s="1"/>
      <c r="V59" s="1"/>
      <c r="W59" s="1"/>
      <c r="X59" s="8"/>
      <c r="Y59" s="1"/>
      <c r="Z59" s="1"/>
    </row>
    <row r="60" ht="15.75" customHeight="1">
      <c r="A60" s="5" t="s">
        <v>59</v>
      </c>
      <c r="B60" s="6"/>
      <c r="C60" s="9">
        <v>96.83</v>
      </c>
      <c r="D60" s="9">
        <v>96.83</v>
      </c>
      <c r="E60" s="9">
        <v>96.71</v>
      </c>
      <c r="F60" s="9">
        <v>91.71</v>
      </c>
      <c r="G60" s="9">
        <v>101.7</v>
      </c>
      <c r="H60" s="9">
        <v>87.25</v>
      </c>
      <c r="I60" s="9">
        <v>142.48</v>
      </c>
      <c r="J60" s="9">
        <v>105.06</v>
      </c>
      <c r="K60" s="9">
        <v>105.06</v>
      </c>
      <c r="L60" s="9">
        <v>105.06</v>
      </c>
      <c r="M60" s="9">
        <v>105.09</v>
      </c>
      <c r="N60" s="9">
        <v>105.09</v>
      </c>
      <c r="O60" s="6"/>
      <c r="P60" s="1">
        <f t="shared" ref="P60:P66" si="7">SUM(C60:N60)</f>
        <v>1238.87</v>
      </c>
      <c r="Q60" s="1"/>
      <c r="R60" s="1"/>
      <c r="S60" s="1"/>
      <c r="T60" s="1"/>
      <c r="U60" s="1"/>
      <c r="V60" s="1"/>
      <c r="W60" s="1"/>
      <c r="X60" s="8"/>
      <c r="Y60" s="1"/>
      <c r="Z60" s="1"/>
    </row>
    <row r="61" ht="15.75" customHeight="1">
      <c r="A61" s="1" t="s">
        <v>60</v>
      </c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6"/>
      <c r="P61" s="1">
        <f t="shared" si="7"/>
        <v>0</v>
      </c>
      <c r="Q61" s="1"/>
      <c r="R61" s="1"/>
      <c r="S61" s="1"/>
      <c r="T61" s="1"/>
      <c r="U61" s="1"/>
      <c r="V61" s="1"/>
      <c r="W61" s="1"/>
      <c r="X61" s="19"/>
      <c r="Y61" s="1"/>
      <c r="Z61" s="1"/>
    </row>
    <row r="62" ht="15.75" customHeight="1">
      <c r="A62" s="1" t="s">
        <v>61</v>
      </c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  <c r="P62" s="1">
        <f t="shared" si="7"/>
        <v>0</v>
      </c>
      <c r="Q62" s="1"/>
      <c r="R62" s="1"/>
      <c r="S62" s="1"/>
      <c r="T62" s="1"/>
      <c r="U62" s="1"/>
      <c r="V62" s="1"/>
      <c r="W62" s="1"/>
      <c r="X62" s="9"/>
      <c r="Y62" s="1"/>
      <c r="Z62" s="1"/>
    </row>
    <row r="63" ht="15.75" customHeight="1">
      <c r="A63" s="16" t="s">
        <v>62</v>
      </c>
      <c r="B63" s="6"/>
      <c r="C63" s="9">
        <v>206.2</v>
      </c>
      <c r="E63" s="9">
        <v>103.1</v>
      </c>
      <c r="F63" s="9">
        <v>103.1</v>
      </c>
      <c r="G63" s="9">
        <v>103.02</v>
      </c>
      <c r="H63" s="9"/>
      <c r="I63" s="19">
        <v>305.45</v>
      </c>
      <c r="J63" s="9"/>
      <c r="K63" s="9">
        <v>152.73</v>
      </c>
      <c r="L63" s="9">
        <v>305.46</v>
      </c>
      <c r="M63" s="9"/>
      <c r="N63" s="9">
        <v>305.46</v>
      </c>
      <c r="O63" s="6"/>
      <c r="P63" s="1">
        <f t="shared" si="7"/>
        <v>1584.52</v>
      </c>
      <c r="Q63" s="1"/>
      <c r="R63" s="1"/>
      <c r="S63" s="1"/>
      <c r="T63" s="1"/>
      <c r="U63" s="1"/>
      <c r="V63" s="1"/>
      <c r="W63" s="1"/>
      <c r="X63" s="9"/>
      <c r="Y63" s="1"/>
      <c r="Z63" s="1"/>
    </row>
    <row r="64" ht="15.75" customHeight="1">
      <c r="A64" s="5" t="s">
        <v>63</v>
      </c>
      <c r="B64" s="6"/>
      <c r="C64" s="8"/>
      <c r="D64" s="9">
        <v>198.61</v>
      </c>
      <c r="E64" s="8"/>
      <c r="F64" s="9">
        <v>584.17</v>
      </c>
      <c r="G64" s="9">
        <v>72.18</v>
      </c>
      <c r="H64" s="9"/>
      <c r="I64" s="9"/>
      <c r="J64" s="12">
        <v>99.49</v>
      </c>
      <c r="K64" s="8"/>
      <c r="L64" s="12">
        <v>202.92</v>
      </c>
      <c r="M64" s="8"/>
      <c r="N64" s="8"/>
      <c r="O64" s="6"/>
      <c r="P64" s="1">
        <f t="shared" si="7"/>
        <v>1157.37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64</v>
      </c>
      <c r="B65" s="6"/>
      <c r="C65" s="9">
        <v>400.0</v>
      </c>
      <c r="D65" s="9">
        <v>400.0</v>
      </c>
      <c r="E65" s="9">
        <v>400.0</v>
      </c>
      <c r="F65" s="9">
        <v>400.0</v>
      </c>
      <c r="G65" s="9">
        <v>1589.08</v>
      </c>
      <c r="H65" s="9">
        <v>400.0</v>
      </c>
      <c r="I65" s="9">
        <v>400.0</v>
      </c>
      <c r="J65" s="9">
        <v>400.0</v>
      </c>
      <c r="K65" s="9">
        <v>1000.0</v>
      </c>
      <c r="L65" s="9">
        <v>1900.0</v>
      </c>
      <c r="M65" s="8"/>
      <c r="N65" s="9">
        <v>400.0</v>
      </c>
      <c r="O65" s="6"/>
      <c r="P65" s="1">
        <f t="shared" si="7"/>
        <v>7689.08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5" t="s">
        <v>65</v>
      </c>
      <c r="B66" s="6"/>
      <c r="C66" s="8"/>
      <c r="D66" s="8"/>
      <c r="E66" s="8"/>
      <c r="F66" s="8"/>
      <c r="G66" s="8"/>
      <c r="H66" s="8"/>
      <c r="I66" s="8"/>
      <c r="J66" s="8"/>
      <c r="K66" s="8"/>
      <c r="L66" s="9"/>
      <c r="M66" s="8"/>
      <c r="N66" s="8"/>
      <c r="O66" s="6"/>
      <c r="P66" s="1">
        <f t="shared" si="7"/>
        <v>0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6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6"/>
      <c r="P67" s="6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66</v>
      </c>
      <c r="B68" s="6"/>
      <c r="C68" s="8"/>
      <c r="D68" s="8"/>
      <c r="E68" s="8"/>
      <c r="F68" s="8"/>
      <c r="G68" s="9"/>
      <c r="H68" s="8"/>
      <c r="I68" s="8"/>
      <c r="J68" s="8"/>
      <c r="K68" s="8"/>
      <c r="L68" s="8"/>
      <c r="M68" s="8"/>
      <c r="N68" s="9">
        <v>10.0</v>
      </c>
      <c r="O68" s="6"/>
      <c r="P68" s="1">
        <f t="shared" ref="P68:P69" si="8">SUM(C68:N68)</f>
        <v>10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67</v>
      </c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9"/>
      <c r="O69" s="6"/>
      <c r="P69" s="1">
        <f t="shared" si="8"/>
        <v>0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>
        <f t="shared" ref="C71:N71" si="9">SUM(C14:C69)</f>
        <v>1130.01</v>
      </c>
      <c r="D71" s="1">
        <f t="shared" si="9"/>
        <v>1166.59</v>
      </c>
      <c r="E71" s="1">
        <f t="shared" si="9"/>
        <v>6405.33</v>
      </c>
      <c r="F71" s="1">
        <f t="shared" si="9"/>
        <v>4246.74</v>
      </c>
      <c r="G71" s="1">
        <f t="shared" si="9"/>
        <v>8180.29</v>
      </c>
      <c r="H71" s="1">
        <f t="shared" si="9"/>
        <v>7921.77</v>
      </c>
      <c r="I71" s="1">
        <f t="shared" si="9"/>
        <v>9596.08</v>
      </c>
      <c r="J71" s="1">
        <f t="shared" si="9"/>
        <v>4546.08</v>
      </c>
      <c r="K71" s="1">
        <f t="shared" si="9"/>
        <v>4374.34</v>
      </c>
      <c r="L71" s="1">
        <f t="shared" si="9"/>
        <v>7069.65</v>
      </c>
      <c r="M71" s="1">
        <f t="shared" si="9"/>
        <v>4919.71</v>
      </c>
      <c r="N71" s="1">
        <f t="shared" si="9"/>
        <v>1905.25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>
        <f>C11-C71</f>
        <v>5030.42</v>
      </c>
      <c r="D72" s="1">
        <f t="shared" ref="D72:N72" si="10">C72+D11-D71</f>
        <v>4818.05</v>
      </c>
      <c r="E72" s="1">
        <f t="shared" si="10"/>
        <v>3351.2</v>
      </c>
      <c r="F72" s="1">
        <f t="shared" si="10"/>
        <v>3537.43</v>
      </c>
      <c r="G72" s="1">
        <f t="shared" si="10"/>
        <v>4887.91</v>
      </c>
      <c r="H72" s="1">
        <f t="shared" si="10"/>
        <v>2770.82</v>
      </c>
      <c r="I72" s="1">
        <f t="shared" si="10"/>
        <v>2079.8</v>
      </c>
      <c r="J72" s="1">
        <f t="shared" si="10"/>
        <v>3575.43</v>
      </c>
      <c r="K72" s="1">
        <f t="shared" si="10"/>
        <v>6004.17</v>
      </c>
      <c r="L72" s="1">
        <f t="shared" si="10"/>
        <v>4954.55</v>
      </c>
      <c r="M72" s="1">
        <f t="shared" si="10"/>
        <v>2158.79</v>
      </c>
      <c r="N72" s="1">
        <f t="shared" si="10"/>
        <v>320.63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68</v>
      </c>
      <c r="B75" s="1"/>
      <c r="C75" s="1"/>
      <c r="D75" s="5"/>
      <c r="E75" s="5"/>
      <c r="F75" s="5"/>
      <c r="G75" s="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69</v>
      </c>
      <c r="B76" s="1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6"/>
      <c r="P76" s="1">
        <f>SUM(C76:N76)</f>
        <v>0</v>
      </c>
      <c r="Q76" s="1" t="s">
        <v>70</v>
      </c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5"/>
      <c r="G78" s="5"/>
      <c r="H78" s="2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2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2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2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2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2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2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2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2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2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2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2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2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2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2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2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2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26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26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26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2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>
        <f>SUM(H78:H98)</f>
        <v>0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">
    <mergeCell ref="B2:D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.14"/>
    <col customWidth="1" min="3" max="3" width="10.57"/>
    <col customWidth="1" min="4" max="10" width="9.57"/>
    <col customWidth="1" min="11" max="11" width="10.86"/>
    <col customWidth="1" min="12" max="12" width="9.57"/>
    <col customWidth="1" min="13" max="13" width="10.43"/>
    <col customWidth="1" min="14" max="14" width="11.57"/>
    <col customWidth="1" min="15" max="15" width="2.14"/>
    <col customWidth="1" min="16" max="16" width="10.57"/>
    <col customWidth="1" min="17" max="21" width="9.14"/>
    <col customWidth="1" min="22" max="26" width="8.71"/>
  </cols>
  <sheetData>
    <row r="1">
      <c r="A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0</v>
      </c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/>
      <c r="P3" s="3" t="s">
        <v>13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1">
        <f t="shared" ref="P5:P10" si="1">SUM(C5:N5)</f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1">
        <f t="shared" si="1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71</v>
      </c>
      <c r="B7" s="6"/>
      <c r="C7" s="9">
        <v>400.0</v>
      </c>
      <c r="D7" s="9">
        <v>400.0</v>
      </c>
      <c r="E7" s="9">
        <v>400.0</v>
      </c>
      <c r="F7" s="9">
        <v>400.0</v>
      </c>
      <c r="G7" s="9">
        <v>1589.08</v>
      </c>
      <c r="H7" s="9"/>
      <c r="I7" s="9"/>
      <c r="J7" s="8"/>
      <c r="K7" s="8"/>
      <c r="L7" s="8"/>
      <c r="M7" s="8"/>
      <c r="N7" s="9"/>
      <c r="O7" s="6"/>
      <c r="P7" s="1">
        <f t="shared" si="1"/>
        <v>3189.08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8" t="s">
        <v>72</v>
      </c>
      <c r="B8" s="6"/>
      <c r="C8" s="8"/>
      <c r="D8" s="8"/>
      <c r="E8" s="9"/>
      <c r="F8" s="8"/>
      <c r="G8" s="8"/>
      <c r="H8" s="9"/>
      <c r="I8" s="9"/>
      <c r="J8" s="8"/>
      <c r="K8" s="8"/>
      <c r="L8" s="8"/>
      <c r="M8" s="8"/>
      <c r="N8" s="9"/>
      <c r="O8" s="6"/>
      <c r="P8" s="1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0"/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  <c r="P9" s="1">
        <f t="shared" si="1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  <c r="P10" s="1">
        <f t="shared" si="1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>
        <f t="shared" ref="C11:N11" si="2">SUM(C5:C10)</f>
        <v>400</v>
      </c>
      <c r="D11" s="1">
        <f t="shared" si="2"/>
        <v>400</v>
      </c>
      <c r="E11" s="1">
        <f t="shared" si="2"/>
        <v>400</v>
      </c>
      <c r="F11" s="1">
        <f t="shared" si="2"/>
        <v>400</v>
      </c>
      <c r="G11" s="1">
        <f t="shared" si="2"/>
        <v>1589.08</v>
      </c>
      <c r="H11" s="1">
        <f t="shared" si="2"/>
        <v>0</v>
      </c>
      <c r="I11" s="1">
        <f t="shared" si="2"/>
        <v>0</v>
      </c>
      <c r="J11" s="1">
        <f t="shared" si="2"/>
        <v>0</v>
      </c>
      <c r="K11" s="1">
        <f t="shared" si="2"/>
        <v>0</v>
      </c>
      <c r="L11" s="1">
        <f t="shared" si="2"/>
        <v>0</v>
      </c>
      <c r="M11" s="1">
        <f t="shared" si="2"/>
        <v>0</v>
      </c>
      <c r="N11" s="1">
        <f t="shared" si="2"/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3" t="s">
        <v>0</v>
      </c>
      <c r="B12" s="3"/>
      <c r="C12" s="3" t="s">
        <v>1</v>
      </c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10</v>
      </c>
      <c r="M12" s="3" t="s">
        <v>11</v>
      </c>
      <c r="N12" s="3" t="s">
        <v>12</v>
      </c>
      <c r="O12" s="3"/>
      <c r="P12" s="3" t="s">
        <v>13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18</v>
      </c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1">
        <f t="shared" ref="P14:P15" si="3">SUM(C14:N14)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1">
        <f t="shared" si="3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6"/>
      <c r="P16" s="6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19</v>
      </c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  <c r="P17" s="1">
        <f>SUM(C17:N17)</f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6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20</v>
      </c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  <c r="P19" s="1">
        <f t="shared" ref="P19:P25" si="4">SUM(C19:N19)</f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  <c r="P20" s="1">
        <f t="shared" si="4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1">
        <f t="shared" si="4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6"/>
      <c r="P22" s="1">
        <f t="shared" si="4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1">
        <f t="shared" si="4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30</v>
      </c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6"/>
      <c r="P24" s="1">
        <f t="shared" si="4"/>
        <v>0</v>
      </c>
      <c r="Q24" s="1" t="s">
        <v>31</v>
      </c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6"/>
      <c r="P25" s="1">
        <f t="shared" si="4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32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  <c r="P27" s="1">
        <f t="shared" ref="P27:P41" si="5">SUM(C27:N27)</f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33</v>
      </c>
      <c r="B28" s="6"/>
      <c r="C28" s="8"/>
      <c r="D28" s="8"/>
      <c r="E28" s="8"/>
      <c r="F28" s="9"/>
      <c r="G28" s="8"/>
      <c r="H28" s="8"/>
      <c r="I28" s="8"/>
      <c r="J28" s="8"/>
      <c r="K28" s="8"/>
      <c r="L28" s="8"/>
      <c r="M28" s="8"/>
      <c r="N28" s="9"/>
      <c r="O28" s="6"/>
      <c r="P28" s="1">
        <f t="shared" si="5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34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6"/>
      <c r="P29" s="1">
        <f t="shared" si="5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73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6"/>
      <c r="P30" s="1">
        <f t="shared" si="5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74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6"/>
      <c r="P31" s="1">
        <f t="shared" si="5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75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6"/>
      <c r="P32" s="1">
        <f t="shared" si="5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76</v>
      </c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6"/>
      <c r="P33" s="1">
        <f t="shared" si="5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77</v>
      </c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6"/>
      <c r="P34" s="1">
        <f t="shared" si="5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78</v>
      </c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6"/>
      <c r="P35" s="1">
        <f t="shared" si="5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38</v>
      </c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6"/>
      <c r="P36" s="1">
        <f t="shared" si="5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79</v>
      </c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6"/>
      <c r="P37" s="1">
        <f t="shared" si="5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43</v>
      </c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  <c r="P38" s="1">
        <f t="shared" si="5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80</v>
      </c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  <c r="P39" s="1">
        <f t="shared" si="5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81</v>
      </c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6"/>
      <c r="P40" s="1">
        <f t="shared" si="5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82</v>
      </c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6"/>
      <c r="P41" s="1">
        <f t="shared" si="5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5" t="s">
        <v>83</v>
      </c>
      <c r="B42" s="6"/>
      <c r="C42" s="8"/>
      <c r="D42" s="8"/>
      <c r="E42" s="9"/>
      <c r="G42" s="8"/>
      <c r="H42" s="8"/>
      <c r="I42" s="8"/>
      <c r="J42" s="8"/>
      <c r="K42" s="8"/>
      <c r="L42" s="8"/>
      <c r="M42" s="8"/>
      <c r="N42" s="8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48</v>
      </c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6"/>
      <c r="P43" s="1">
        <f t="shared" ref="P43:P60" si="6">SUM(C43:N43)</f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39</v>
      </c>
      <c r="B44" s="6"/>
      <c r="C44" s="8"/>
      <c r="D44" s="8"/>
      <c r="E44" s="8"/>
      <c r="G44" s="9"/>
      <c r="H44" s="8"/>
      <c r="I44" s="8"/>
      <c r="J44" s="8"/>
      <c r="K44" s="8"/>
      <c r="L44" s="8"/>
      <c r="M44" s="9"/>
      <c r="N44" s="8"/>
      <c r="O44" s="6"/>
      <c r="P44" s="1">
        <f t="shared" si="6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50</v>
      </c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6"/>
      <c r="P45" s="1">
        <f t="shared" si="6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51</v>
      </c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6"/>
      <c r="P46" s="1">
        <f t="shared" si="6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52</v>
      </c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6"/>
      <c r="P47" s="1">
        <f t="shared" si="6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84</v>
      </c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6"/>
      <c r="P48" s="1">
        <f t="shared" si="6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54</v>
      </c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6"/>
      <c r="P49" s="1">
        <f t="shared" si="6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55</v>
      </c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6"/>
      <c r="P50" s="1">
        <f t="shared" si="6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56</v>
      </c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6"/>
      <c r="P51" s="1">
        <f t="shared" si="6"/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63</v>
      </c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6"/>
      <c r="P52" s="1">
        <f t="shared" si="6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58</v>
      </c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6"/>
      <c r="P53" s="1">
        <f t="shared" si="6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85</v>
      </c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6"/>
      <c r="P54" s="1">
        <f t="shared" si="6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60</v>
      </c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  <c r="P55" s="1">
        <f t="shared" si="6"/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61</v>
      </c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1">
        <f t="shared" si="6"/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6"/>
      <c r="P57" s="1">
        <f t="shared" si="6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6"/>
      <c r="P58" s="1">
        <f t="shared" si="6"/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6"/>
      <c r="P59" s="1">
        <f t="shared" si="6"/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  <c r="P60" s="1">
        <f t="shared" si="6"/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6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66</v>
      </c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  <c r="P62" s="1">
        <f t="shared" ref="P62:P63" si="7">SUM(C62:N62)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67</v>
      </c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6"/>
      <c r="P63" s="1">
        <f t="shared" si="7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>
        <f t="shared" ref="C65:N65" si="8">SUM(C14:C63)</f>
        <v>0</v>
      </c>
      <c r="D65" s="1">
        <f t="shared" si="8"/>
        <v>0</v>
      </c>
      <c r="E65" s="1">
        <f t="shared" si="8"/>
        <v>0</v>
      </c>
      <c r="F65" s="1">
        <f t="shared" si="8"/>
        <v>0</v>
      </c>
      <c r="G65" s="1">
        <f t="shared" si="8"/>
        <v>0</v>
      </c>
      <c r="H65" s="1">
        <f t="shared" si="8"/>
        <v>0</v>
      </c>
      <c r="I65" s="1">
        <f t="shared" si="8"/>
        <v>0</v>
      </c>
      <c r="J65" s="1">
        <f t="shared" si="8"/>
        <v>0</v>
      </c>
      <c r="K65" s="1">
        <f t="shared" si="8"/>
        <v>0</v>
      </c>
      <c r="L65" s="1">
        <f t="shared" si="8"/>
        <v>0</v>
      </c>
      <c r="M65" s="1">
        <f t="shared" si="8"/>
        <v>0</v>
      </c>
      <c r="N65" s="1">
        <f t="shared" si="8"/>
        <v>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>
        <f>C11-C65</f>
        <v>400</v>
      </c>
      <c r="D66" s="1">
        <f t="shared" ref="D66:N66" si="9">C66+D11-D65</f>
        <v>800</v>
      </c>
      <c r="E66" s="1">
        <f t="shared" si="9"/>
        <v>1200</v>
      </c>
      <c r="F66" s="1">
        <f t="shared" si="9"/>
        <v>1600</v>
      </c>
      <c r="G66" s="1">
        <f t="shared" si="9"/>
        <v>3189.08</v>
      </c>
      <c r="H66" s="1">
        <f t="shared" si="9"/>
        <v>3189.08</v>
      </c>
      <c r="I66" s="1">
        <f t="shared" si="9"/>
        <v>3189.08</v>
      </c>
      <c r="J66" s="1">
        <f t="shared" si="9"/>
        <v>3189.08</v>
      </c>
      <c r="K66" s="1">
        <f t="shared" si="9"/>
        <v>3189.08</v>
      </c>
      <c r="L66" s="1">
        <f t="shared" si="9"/>
        <v>3189.08</v>
      </c>
      <c r="M66" s="1">
        <f t="shared" si="9"/>
        <v>3189.08</v>
      </c>
      <c r="N66" s="1">
        <f t="shared" si="9"/>
        <v>3189.08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6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3" width="2.14"/>
    <col customWidth="1" min="4" max="4" width="10.57"/>
    <col customWidth="1" min="5" max="9" width="9.14"/>
    <col customWidth="1" min="10" max="26" width="8.71"/>
  </cols>
  <sheetData>
    <row r="1">
      <c r="A1" s="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0</v>
      </c>
      <c r="B3" s="3"/>
      <c r="C3" s="3"/>
      <c r="D3" s="3" t="s">
        <v>13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6"/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15</v>
      </c>
      <c r="B5" s="6"/>
      <c r="C5" s="6"/>
      <c r="D5" s="1">
        <f>'Income &amp; Expenses'!P5+'Credit Card'!P5</f>
        <v>56332.92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6"/>
      <c r="D6" s="1">
        <f>'Income &amp; Expenses'!P6+'Credit Card'!P6</f>
        <v>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71</v>
      </c>
      <c r="B7" s="6"/>
      <c r="C7" s="6"/>
      <c r="D7" s="1">
        <f>'Income &amp; Expenses'!P7+'Credit Card'!P7</f>
        <v>3189.08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0"/>
      <c r="B8" s="6"/>
      <c r="C8" s="6"/>
      <c r="D8" s="1">
        <f>'Income &amp; Expenses'!P8+'Credit Card'!P8</f>
        <v>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16</v>
      </c>
      <c r="B9" s="6"/>
      <c r="C9" s="6"/>
      <c r="D9" s="1">
        <f>'Income &amp; Expenses'!P9+'Credit Card'!P9</f>
        <v>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 t="s">
        <v>17</v>
      </c>
      <c r="B10" s="6"/>
      <c r="C10" s="6"/>
      <c r="D10" s="1">
        <f>'Income &amp; Expenses'!P10+'Credit Card'!P10</f>
        <v>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3" t="s">
        <v>0</v>
      </c>
      <c r="B12" s="3"/>
      <c r="C12" s="3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18</v>
      </c>
      <c r="B14" s="6"/>
      <c r="C14" s="6"/>
      <c r="D14" s="1">
        <f>'Income &amp; Expenses'!P14+'Credit Card'!P14</f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19</v>
      </c>
      <c r="B17" s="6"/>
      <c r="C17" s="6"/>
      <c r="D17" s="1">
        <f>'Income &amp; Expenses'!P17+'Credit Card'!P17</f>
        <v>1175.99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20</v>
      </c>
      <c r="B19" s="6"/>
      <c r="C19" s="6"/>
      <c r="D19" s="1">
        <f>'Income &amp; Expenses'!P19+'Credit Card'!P19</f>
        <v>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6"/>
      <c r="C20" s="6"/>
      <c r="D20" s="1">
        <f>'Income &amp; Expenses'!P25+'Credit Card'!P20</f>
        <v>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6"/>
      <c r="C21" s="6"/>
      <c r="D21" s="1">
        <f>'Income &amp; Expenses'!P26+'Credit Card'!P21</f>
        <v>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6"/>
      <c r="C22" s="6"/>
      <c r="D22" s="1">
        <f>'Income &amp; Expenses'!P27+'Credit Card'!P22</f>
        <v>0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30</v>
      </c>
      <c r="B24" s="6"/>
      <c r="C24" s="6"/>
      <c r="D24" s="1">
        <f>'Income &amp; Expenses'!P29+'Credit Card'!P24</f>
        <v>4375.59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32</v>
      </c>
      <c r="B27" s="6"/>
      <c r="C27" s="6"/>
      <c r="D27" s="1">
        <f>'Income &amp; Expenses'!P32+'Credit Card'!P27</f>
        <v>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33</v>
      </c>
      <c r="B28" s="6"/>
      <c r="C28" s="6"/>
      <c r="D28" s="1">
        <f>'Income &amp; Expenses'!P33+'Credit Card'!P28</f>
        <v>1692.57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34</v>
      </c>
      <c r="B29" s="6"/>
      <c r="C29" s="6"/>
      <c r="D29" s="1">
        <f>'Income &amp; Expenses'!P34+'Credit Card'!P29</f>
        <v>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5" t="s">
        <v>35</v>
      </c>
      <c r="B30" s="6"/>
      <c r="C30" s="6"/>
      <c r="D30" s="1">
        <f>'Income &amp; Expenses'!P35+'Credit Card'!P30</f>
        <v>2725.53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5" t="s">
        <v>36</v>
      </c>
      <c r="B31" s="6"/>
      <c r="C31" s="6"/>
      <c r="D31" s="1">
        <f>'Income &amp; Expenses'!P36+'Credit Card'!P31</f>
        <v>1188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5" t="s">
        <v>37</v>
      </c>
      <c r="B32" s="6"/>
      <c r="C32" s="6"/>
      <c r="D32" s="1">
        <f>'Income &amp; Expenses'!P37+'Credit Card'!P32</f>
        <v>2360.23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38</v>
      </c>
      <c r="B33" s="6"/>
      <c r="C33" s="6"/>
      <c r="D33" s="1">
        <f>'Income &amp; Expenses'!P38+'Credit Card'!P33</f>
        <v>4253.6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39</v>
      </c>
      <c r="B34" s="6"/>
      <c r="C34" s="6"/>
      <c r="D34" s="1">
        <f>'Income &amp; Expenses'!P39+'Credit Card'!P34</f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5" t="s">
        <v>40</v>
      </c>
      <c r="B35" s="6"/>
      <c r="C35" s="6"/>
      <c r="D35" s="1">
        <f>'Income &amp; Expenses'!P40+'Credit Card'!P35</f>
        <v>4635.89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6" t="s">
        <v>41</v>
      </c>
      <c r="B36" s="6"/>
      <c r="C36" s="6"/>
      <c r="D36" s="1">
        <f>'Income &amp; Expenses'!P41+'Credit Card'!P36</f>
        <v>119.99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5" t="s">
        <v>42</v>
      </c>
      <c r="B37" s="6"/>
      <c r="C37" s="6"/>
      <c r="D37" s="1">
        <f>'Income &amp; Expenses'!P42+'Credit Card'!P37</f>
        <v>5910.63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43</v>
      </c>
      <c r="B38" s="6"/>
      <c r="C38" s="6"/>
      <c r="D38" s="1">
        <f>'Income &amp; Expenses'!P43+'Credit Card'!P38</f>
        <v>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5" t="s">
        <v>44</v>
      </c>
      <c r="B39" s="6"/>
      <c r="C39" s="6"/>
      <c r="D39" s="1">
        <f>'Income &amp; Expenses'!P44+'Credit Card'!P39</f>
        <v>529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5" t="s">
        <v>45</v>
      </c>
      <c r="B40" s="6"/>
      <c r="C40" s="6"/>
      <c r="D40" s="1">
        <f>'Income &amp; Expenses'!P45+'Credit Card'!P40</f>
        <v>66.51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5" t="s">
        <v>46</v>
      </c>
      <c r="B41" s="6"/>
      <c r="C41" s="6"/>
      <c r="D41" s="1">
        <f>'Income &amp; Expenses'!P46+'Credit Card'!P41</f>
        <v>127.67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47</v>
      </c>
      <c r="B42" s="6"/>
      <c r="C42" s="6"/>
      <c r="D42" s="1">
        <f>'Income &amp; Expenses'!P47+'Credit Card'!P42</f>
        <v>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48</v>
      </c>
      <c r="B43" s="6"/>
      <c r="C43" s="6"/>
      <c r="D43" s="1">
        <f>'Income &amp; Expenses'!P48+'Credit Card'!P43</f>
        <v>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6" t="s">
        <v>49</v>
      </c>
      <c r="B44" s="6"/>
      <c r="C44" s="6"/>
      <c r="D44" s="1">
        <f>'Income &amp; Expenses'!P49+'Credit Card'!P44</f>
        <v>0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50</v>
      </c>
      <c r="B45" s="6"/>
      <c r="C45" s="6"/>
      <c r="D45" s="1">
        <f>'Income &amp; Expenses'!P50+'Credit Card'!P45</f>
        <v>0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51</v>
      </c>
      <c r="B46" s="6"/>
      <c r="C46" s="6"/>
      <c r="D46" s="1">
        <f>'Income &amp; Expenses'!P51+'Credit Card'!P46</f>
        <v>0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52</v>
      </c>
      <c r="B47" s="6"/>
      <c r="C47" s="6"/>
      <c r="D47" s="1">
        <f>'Income &amp; Expenses'!P52+'Credit Card'!P47</f>
        <v>0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5" t="s">
        <v>53</v>
      </c>
      <c r="B48" s="6"/>
      <c r="C48" s="6"/>
      <c r="D48" s="1">
        <f>'Income &amp; Expenses'!P53+'Credit Card'!P48</f>
        <v>156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54</v>
      </c>
      <c r="B49" s="6"/>
      <c r="C49" s="6"/>
      <c r="D49" s="1">
        <f>'Income &amp; Expenses'!P54+'Credit Card'!P49</f>
        <v>0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55</v>
      </c>
      <c r="B50" s="6"/>
      <c r="C50" s="6"/>
      <c r="D50" s="1">
        <f>'Income &amp; Expenses'!P55+'Credit Card'!P50</f>
        <v>0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56</v>
      </c>
      <c r="B51" s="6"/>
      <c r="C51" s="6"/>
      <c r="D51" s="1">
        <f>'Income &amp; Expenses'!P56+'Credit Card'!P51</f>
        <v>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6" t="s">
        <v>57</v>
      </c>
      <c r="B52" s="6"/>
      <c r="C52" s="6"/>
      <c r="D52" s="1">
        <f>'Income &amp; Expenses'!P57+'Credit Card'!P52</f>
        <v>0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58</v>
      </c>
      <c r="B53" s="6"/>
      <c r="C53" s="6"/>
      <c r="D53" s="1">
        <f>'Income &amp; Expenses'!P58+'Credit Card'!P53</f>
        <v>3372.84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5" t="s">
        <v>27</v>
      </c>
      <c r="B54" s="6"/>
      <c r="C54" s="6"/>
      <c r="D54" s="1">
        <f>'Income &amp; Expenses'!P59+'Credit Card'!P54</f>
        <v>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5" t="s">
        <v>59</v>
      </c>
      <c r="B55" s="6"/>
      <c r="C55" s="6"/>
      <c r="D55" s="1">
        <f>'Income &amp; Expenses'!P60+'Credit Card'!P55</f>
        <v>1238.87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60</v>
      </c>
      <c r="B56" s="6"/>
      <c r="C56" s="6"/>
      <c r="D56" s="1">
        <f>'Income &amp; Expenses'!P61+'Credit Card'!P56</f>
        <v>0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61</v>
      </c>
      <c r="B57" s="6"/>
      <c r="C57" s="6"/>
      <c r="D57" s="1">
        <f>'Income &amp; Expenses'!P62+'Credit Card'!P57</f>
        <v>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6" t="s">
        <v>62</v>
      </c>
      <c r="B58" s="6"/>
      <c r="C58" s="6"/>
      <c r="D58" s="1">
        <f>'Income &amp; Expenses'!P63+'Credit Card'!P58</f>
        <v>1584.52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5" t="s">
        <v>63</v>
      </c>
      <c r="B59" s="6"/>
      <c r="C59" s="6"/>
      <c r="D59" s="1">
        <f>'Income &amp; Expenses'!P64+'Credit Card'!P59</f>
        <v>1157.37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64</v>
      </c>
      <c r="B60" s="6"/>
      <c r="C60" s="6"/>
      <c r="D60" s="1">
        <f>'Income &amp; Expenses'!P65+'Credit Card'!P60</f>
        <v>7689.08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5" t="s">
        <v>65</v>
      </c>
      <c r="B61" s="6"/>
      <c r="C61" s="6"/>
      <c r="D61" s="1">
        <f>'Income &amp; Expenses'!P66+'Credit Card'!P61</f>
        <v>0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B62" s="6"/>
      <c r="C62" s="6"/>
      <c r="D62" s="1">
        <f>'Income &amp; Expenses'!P68+'Credit Card'!P62</f>
        <v>10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66</v>
      </c>
      <c r="B63" s="6"/>
      <c r="C63" s="6"/>
      <c r="D63" s="1">
        <f>'Income &amp; Expenses'!P69+'Credit Card'!P63</f>
        <v>0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67</v>
      </c>
      <c r="B64" s="6"/>
      <c r="C64" s="6"/>
      <c r="D64" s="1">
        <f>'Income &amp; Expenses'!P69+'Credit Card'!P64</f>
        <v>0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.14"/>
    <col customWidth="1" min="3" max="10" width="8.71"/>
    <col customWidth="1" min="11" max="11" width="10.86"/>
    <col customWidth="1" min="12" max="12" width="8.71"/>
    <col customWidth="1" min="13" max="13" width="10.43"/>
    <col customWidth="1" min="14" max="14" width="10.14"/>
    <col customWidth="1" min="15" max="15" width="3.0"/>
    <col customWidth="1" min="16" max="16" width="10.57"/>
    <col customWidth="1" min="17" max="26" width="8.71"/>
  </cols>
  <sheetData>
    <row r="1">
      <c r="A1" s="29"/>
    </row>
    <row r="2" ht="22.5" customHeight="1">
      <c r="A2" s="30" t="s">
        <v>0</v>
      </c>
      <c r="B2" s="30"/>
      <c r="C2" s="30" t="s">
        <v>1</v>
      </c>
      <c r="D2" s="30" t="s">
        <v>2</v>
      </c>
      <c r="E2" s="30" t="s">
        <v>3</v>
      </c>
      <c r="F2" s="30" t="s">
        <v>4</v>
      </c>
      <c r="G2" s="30" t="s">
        <v>5</v>
      </c>
      <c r="H2" s="30" t="s">
        <v>6</v>
      </c>
      <c r="I2" s="30" t="s">
        <v>7</v>
      </c>
      <c r="J2" s="30" t="s">
        <v>8</v>
      </c>
      <c r="K2" s="30" t="s">
        <v>9</v>
      </c>
      <c r="L2" s="30" t="s">
        <v>10</v>
      </c>
      <c r="M2" s="30" t="s">
        <v>11</v>
      </c>
      <c r="N2" s="30" t="s">
        <v>12</v>
      </c>
      <c r="O2" s="30"/>
      <c r="P2" s="30" t="s">
        <v>13</v>
      </c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31" t="s">
        <v>86</v>
      </c>
      <c r="B3" s="32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6"/>
      <c r="P3" s="1">
        <f t="shared" ref="P3:P11" si="1">SUM(C3:N3)</f>
        <v>0</v>
      </c>
      <c r="Q3" s="33" t="s">
        <v>87</v>
      </c>
    </row>
    <row r="4">
      <c r="A4" s="31" t="s">
        <v>40</v>
      </c>
      <c r="B4" s="32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  <c r="P4" s="1">
        <f t="shared" si="1"/>
        <v>0</v>
      </c>
    </row>
    <row r="5">
      <c r="A5" s="31" t="s">
        <v>88</v>
      </c>
      <c r="B5" s="32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1">
        <f t="shared" si="1"/>
        <v>0</v>
      </c>
    </row>
    <row r="6">
      <c r="A6" s="31" t="s">
        <v>89</v>
      </c>
      <c r="B6" s="3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1">
        <f t="shared" si="1"/>
        <v>0</v>
      </c>
    </row>
    <row r="7">
      <c r="A7" s="31" t="s">
        <v>90</v>
      </c>
      <c r="B7" s="3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/>
      <c r="P7" s="1">
        <f t="shared" si="1"/>
        <v>0</v>
      </c>
    </row>
    <row r="8">
      <c r="A8" s="31" t="s">
        <v>91</v>
      </c>
      <c r="B8" s="3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6"/>
      <c r="P8" s="1">
        <f t="shared" si="1"/>
        <v>0</v>
      </c>
    </row>
    <row r="9">
      <c r="A9" s="31" t="s">
        <v>92</v>
      </c>
      <c r="B9" s="3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  <c r="P9" s="1">
        <f t="shared" si="1"/>
        <v>0</v>
      </c>
    </row>
    <row r="10">
      <c r="A10" s="31" t="s">
        <v>93</v>
      </c>
      <c r="B10" s="32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  <c r="P10" s="1">
        <f t="shared" si="1"/>
        <v>0</v>
      </c>
    </row>
    <row r="11">
      <c r="A11" s="31" t="s">
        <v>94</v>
      </c>
      <c r="B11" s="32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6"/>
      <c r="P11" s="1">
        <f t="shared" si="1"/>
        <v>0</v>
      </c>
    </row>
    <row r="12">
      <c r="A12" s="31" t="s">
        <v>95</v>
      </c>
      <c r="B12" s="32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34"/>
      <c r="O12" s="6"/>
      <c r="P12" s="1"/>
    </row>
    <row r="13">
      <c r="A13" s="31"/>
      <c r="B13" s="32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4"/>
      <c r="O13" s="6"/>
      <c r="P13" s="1"/>
    </row>
    <row r="14">
      <c r="A14" s="31" t="s">
        <v>96</v>
      </c>
      <c r="B14" s="32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35"/>
      <c r="O14" s="6"/>
      <c r="P14" s="1">
        <f t="shared" ref="P14:P17" si="2">SUM(N14)</f>
        <v>0</v>
      </c>
    </row>
    <row r="15">
      <c r="A15" s="31" t="s">
        <v>97</v>
      </c>
      <c r="B15" s="32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35"/>
      <c r="O15" s="6"/>
      <c r="P15" s="1">
        <f t="shared" si="2"/>
        <v>0</v>
      </c>
    </row>
    <row r="16">
      <c r="A16" s="31" t="s">
        <v>98</v>
      </c>
      <c r="B16" s="32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35"/>
      <c r="O16" s="6"/>
      <c r="P16" s="1">
        <f t="shared" si="2"/>
        <v>0</v>
      </c>
    </row>
    <row r="17">
      <c r="A17" s="31" t="s">
        <v>99</v>
      </c>
      <c r="B17" s="32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36"/>
      <c r="O17" s="6"/>
      <c r="P17" s="1">
        <f t="shared" si="2"/>
        <v>0</v>
      </c>
    </row>
    <row r="18">
      <c r="A18" s="3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>
        <f>SUM(C19:N19)</f>
        <v>0</v>
      </c>
    </row>
    <row r="21" ht="15.75" customHeight="1">
      <c r="P21" s="1"/>
    </row>
    <row r="22" ht="15.75" customHeight="1"/>
    <row r="23" ht="15.75" customHeight="1">
      <c r="A23" s="37" t="s">
        <v>100</v>
      </c>
    </row>
    <row r="24" ht="15.75" customHeight="1">
      <c r="A24" s="33" t="s">
        <v>101</v>
      </c>
      <c r="D24" s="38"/>
    </row>
    <row r="25" ht="15.75" customHeight="1">
      <c r="A25" s="33" t="s">
        <v>102</v>
      </c>
      <c r="D25" s="38"/>
    </row>
    <row r="26" ht="15.75" customHeight="1"/>
    <row r="27" ht="15.75" customHeight="1">
      <c r="D27" s="39" t="str">
        <f>D24/D25</f>
        <v>#DIV/0!</v>
      </c>
    </row>
    <row r="28" ht="15.75" customHeight="1"/>
    <row r="29" ht="15.75" customHeight="1">
      <c r="A29" s="33" t="s">
        <v>103</v>
      </c>
      <c r="D29" s="31" t="str">
        <f>P19*D27</f>
        <v>#DIV/0!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0"/>
    <col customWidth="1" min="3" max="3" width="2.57"/>
    <col customWidth="1" min="4" max="4" width="36.0"/>
    <col customWidth="1" min="5" max="5" width="2.57"/>
    <col customWidth="1" min="6" max="6" width="13.29"/>
    <col customWidth="1" min="7" max="26" width="8.71"/>
  </cols>
  <sheetData>
    <row r="1">
      <c r="A1" s="37" t="s">
        <v>30</v>
      </c>
    </row>
    <row r="4">
      <c r="B4" s="40" t="s">
        <v>104</v>
      </c>
      <c r="C4" s="41"/>
      <c r="D4" s="42" t="s">
        <v>105</v>
      </c>
      <c r="E4" s="41"/>
      <c r="F4" s="43" t="s">
        <v>106</v>
      </c>
    </row>
    <row r="5">
      <c r="B5" s="44">
        <v>45362.0</v>
      </c>
      <c r="C5" s="32"/>
      <c r="D5" s="45" t="s">
        <v>107</v>
      </c>
      <c r="E5" s="32"/>
      <c r="F5" s="46">
        <v>2000.0</v>
      </c>
    </row>
    <row r="6">
      <c r="B6" s="47"/>
      <c r="C6" s="32"/>
      <c r="D6" s="45"/>
      <c r="E6" s="32"/>
      <c r="F6" s="46"/>
    </row>
    <row r="7">
      <c r="B7" s="48"/>
      <c r="C7" s="32"/>
      <c r="D7" s="31"/>
      <c r="E7" s="32"/>
      <c r="F7" s="49"/>
    </row>
    <row r="8">
      <c r="B8" s="48"/>
      <c r="C8" s="32"/>
      <c r="D8" s="31"/>
      <c r="E8" s="32"/>
      <c r="F8" s="49"/>
    </row>
    <row r="9">
      <c r="B9" s="48"/>
      <c r="C9" s="32"/>
      <c r="D9" s="31"/>
      <c r="E9" s="32"/>
      <c r="F9" s="49"/>
    </row>
    <row r="10">
      <c r="B10" s="48"/>
      <c r="C10" s="32"/>
      <c r="D10" s="31"/>
      <c r="E10" s="32"/>
      <c r="F10" s="49"/>
    </row>
    <row r="11">
      <c r="B11" s="48"/>
      <c r="C11" s="32"/>
      <c r="D11" s="31"/>
      <c r="E11" s="32"/>
      <c r="F11" s="49"/>
    </row>
    <row r="12">
      <c r="B12" s="48"/>
      <c r="C12" s="32"/>
      <c r="D12" s="31"/>
      <c r="E12" s="32"/>
      <c r="F12" s="49"/>
    </row>
    <row r="13">
      <c r="B13" s="48"/>
      <c r="C13" s="32"/>
      <c r="D13" s="31"/>
      <c r="E13" s="32"/>
      <c r="F13" s="49"/>
    </row>
    <row r="14">
      <c r="B14" s="48"/>
      <c r="C14" s="32"/>
      <c r="D14" s="31"/>
      <c r="E14" s="32"/>
      <c r="F14" s="49"/>
    </row>
    <row r="15">
      <c r="B15" s="48"/>
      <c r="C15" s="32"/>
      <c r="D15" s="31"/>
      <c r="E15" s="32"/>
      <c r="F15" s="49"/>
    </row>
    <row r="16">
      <c r="B16" s="48"/>
      <c r="C16" s="32"/>
      <c r="D16" s="31"/>
      <c r="E16" s="32"/>
      <c r="F16" s="49"/>
    </row>
    <row r="17">
      <c r="B17" s="48"/>
      <c r="C17" s="32"/>
      <c r="D17" s="31"/>
      <c r="E17" s="32"/>
      <c r="F17" s="49"/>
    </row>
    <row r="18">
      <c r="B18" s="48"/>
      <c r="C18" s="32"/>
      <c r="D18" s="31"/>
      <c r="E18" s="32"/>
      <c r="F18" s="49"/>
    </row>
    <row r="19">
      <c r="B19" s="48"/>
      <c r="C19" s="32"/>
      <c r="D19" s="31"/>
      <c r="E19" s="32"/>
      <c r="F19" s="49"/>
    </row>
    <row r="20">
      <c r="B20" s="48"/>
      <c r="C20" s="32"/>
      <c r="D20" s="31"/>
      <c r="E20" s="32"/>
      <c r="F20" s="49"/>
    </row>
    <row r="21" ht="15.75" customHeight="1">
      <c r="B21" s="48"/>
      <c r="C21" s="32"/>
      <c r="D21" s="31"/>
      <c r="E21" s="32"/>
      <c r="F21" s="49"/>
    </row>
    <row r="22" ht="15.75" customHeight="1">
      <c r="B22" s="48"/>
      <c r="C22" s="32"/>
      <c r="D22" s="31"/>
      <c r="E22" s="32"/>
      <c r="F22" s="49"/>
    </row>
    <row r="23" ht="15.75" customHeight="1">
      <c r="B23" s="48"/>
      <c r="C23" s="32"/>
      <c r="D23" s="31"/>
      <c r="E23" s="32"/>
      <c r="F23" s="49"/>
    </row>
    <row r="24" ht="15.75" customHeight="1">
      <c r="B24" s="48"/>
      <c r="C24" s="32"/>
      <c r="D24" s="31"/>
      <c r="E24" s="32"/>
      <c r="F24" s="49"/>
    </row>
    <row r="25" ht="15.75" customHeight="1">
      <c r="B25" s="48"/>
      <c r="C25" s="32"/>
      <c r="D25" s="31"/>
      <c r="E25" s="32"/>
      <c r="F25" s="49"/>
    </row>
    <row r="26" ht="15.75" customHeight="1">
      <c r="B26" s="48"/>
      <c r="C26" s="32"/>
      <c r="D26" s="31"/>
      <c r="E26" s="32"/>
      <c r="F26" s="49"/>
    </row>
    <row r="27" ht="15.75" customHeight="1">
      <c r="B27" s="48"/>
      <c r="C27" s="32"/>
      <c r="D27" s="31"/>
      <c r="E27" s="32"/>
      <c r="F27" s="49"/>
    </row>
    <row r="28" ht="15.75" customHeight="1">
      <c r="B28" s="48"/>
      <c r="C28" s="32"/>
      <c r="D28" s="31"/>
      <c r="E28" s="32"/>
      <c r="F28" s="49"/>
    </row>
    <row r="29" ht="15.75" customHeight="1">
      <c r="B29" s="48"/>
      <c r="C29" s="32"/>
      <c r="D29" s="31"/>
      <c r="E29" s="32"/>
      <c r="F29" s="49"/>
    </row>
    <row r="30" ht="15.75" customHeight="1">
      <c r="B30" s="48"/>
      <c r="C30" s="32"/>
      <c r="D30" s="31"/>
      <c r="E30" s="32"/>
      <c r="F30" s="49"/>
    </row>
    <row r="31" ht="15.75" customHeight="1">
      <c r="B31" s="48"/>
      <c r="C31" s="32"/>
      <c r="D31" s="31"/>
      <c r="E31" s="32"/>
      <c r="F31" s="49"/>
    </row>
    <row r="32" ht="15.75" customHeight="1">
      <c r="B32" s="48"/>
      <c r="C32" s="32"/>
      <c r="D32" s="31"/>
      <c r="E32" s="32"/>
      <c r="F32" s="49"/>
    </row>
    <row r="33" ht="15.75" customHeight="1">
      <c r="B33" s="48"/>
      <c r="C33" s="32"/>
      <c r="D33" s="31"/>
      <c r="E33" s="32"/>
      <c r="F33" s="49"/>
    </row>
    <row r="34" ht="15.75" customHeight="1">
      <c r="B34" s="48"/>
      <c r="C34" s="32"/>
      <c r="D34" s="31"/>
      <c r="E34" s="32"/>
      <c r="F34" s="49"/>
    </row>
    <row r="35" ht="15.75" customHeight="1">
      <c r="B35" s="48"/>
      <c r="C35" s="32"/>
      <c r="D35" s="31"/>
      <c r="E35" s="32"/>
      <c r="F35" s="49"/>
    </row>
    <row r="36" ht="15.75" customHeight="1">
      <c r="B36" s="48"/>
      <c r="C36" s="32"/>
      <c r="D36" s="31"/>
      <c r="E36" s="32"/>
      <c r="F36" s="49"/>
    </row>
    <row r="37" ht="15.75" customHeight="1">
      <c r="B37" s="50"/>
      <c r="C37" s="51"/>
      <c r="D37" s="52"/>
      <c r="E37" s="51"/>
      <c r="F37" s="53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.14"/>
    <col customWidth="1" min="3" max="3" width="10.57"/>
    <col customWidth="1" min="4" max="10" width="9.57"/>
    <col customWidth="1" min="11" max="11" width="10.86"/>
    <col customWidth="1" min="12" max="12" width="9.57"/>
    <col customWidth="1" min="13" max="13" width="10.43"/>
    <col customWidth="1" min="14" max="14" width="11.57"/>
    <col customWidth="1" min="15" max="15" width="2.14"/>
    <col customWidth="1" min="16" max="16" width="10.57"/>
    <col customWidth="1" min="17" max="17" width="9.14"/>
    <col customWidth="1" min="18" max="26" width="8.71"/>
  </cols>
  <sheetData>
    <row r="1">
      <c r="A1" s="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3" t="s">
        <v>0</v>
      </c>
      <c r="B3" s="3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/>
      <c r="P3" s="3" t="s">
        <v>13</v>
      </c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6"/>
      <c r="P5" s="1">
        <f t="shared" ref="P5:P10" si="1">SUM(C5:N5)</f>
        <v>0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"/>
      <c r="P6" s="1">
        <f t="shared" si="1"/>
        <v>0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6"/>
      <c r="P7" s="1">
        <f t="shared" si="1"/>
        <v>0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6"/>
      <c r="P8" s="1">
        <f t="shared" si="1"/>
        <v>0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  <c r="P9" s="1">
        <f t="shared" si="1"/>
        <v>0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0"/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  <c r="P10" s="1">
        <f t="shared" si="1"/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>
        <f t="shared" ref="C11:N11" si="2">SUM(C5:C10)</f>
        <v>0</v>
      </c>
      <c r="D11" s="1">
        <f t="shared" si="2"/>
        <v>0</v>
      </c>
      <c r="E11" s="1">
        <f t="shared" si="2"/>
        <v>0</v>
      </c>
      <c r="F11" s="1">
        <f t="shared" si="2"/>
        <v>0</v>
      </c>
      <c r="G11" s="1">
        <f t="shared" si="2"/>
        <v>0</v>
      </c>
      <c r="H11" s="1">
        <f t="shared" si="2"/>
        <v>0</v>
      </c>
      <c r="I11" s="1">
        <f t="shared" si="2"/>
        <v>0</v>
      </c>
      <c r="J11" s="1">
        <f t="shared" si="2"/>
        <v>0</v>
      </c>
      <c r="K11" s="1">
        <f t="shared" si="2"/>
        <v>0</v>
      </c>
      <c r="L11" s="1">
        <f t="shared" si="2"/>
        <v>0</v>
      </c>
      <c r="M11" s="1">
        <f t="shared" si="2"/>
        <v>0</v>
      </c>
      <c r="N11" s="1">
        <f t="shared" si="2"/>
        <v>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2.5" customHeight="1">
      <c r="A12" s="3" t="s">
        <v>0</v>
      </c>
      <c r="B12" s="3"/>
      <c r="C12" s="3" t="s">
        <v>1</v>
      </c>
      <c r="D12" s="3" t="s">
        <v>2</v>
      </c>
      <c r="E12" s="3" t="s">
        <v>3</v>
      </c>
      <c r="F12" s="3" t="s">
        <v>4</v>
      </c>
      <c r="G12" s="3" t="s">
        <v>5</v>
      </c>
      <c r="H12" s="3" t="s">
        <v>6</v>
      </c>
      <c r="I12" s="3" t="s">
        <v>7</v>
      </c>
      <c r="J12" s="3" t="s">
        <v>8</v>
      </c>
      <c r="K12" s="3" t="s">
        <v>9</v>
      </c>
      <c r="L12" s="3" t="s">
        <v>10</v>
      </c>
      <c r="M12" s="3" t="s">
        <v>11</v>
      </c>
      <c r="N12" s="3" t="s">
        <v>12</v>
      </c>
      <c r="O12" s="3"/>
      <c r="P12" s="3" t="s">
        <v>13</v>
      </c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18</v>
      </c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6"/>
      <c r="P14" s="1">
        <f t="shared" ref="P14:P15" si="3">SUM(C14:N14)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6"/>
      <c r="P15" s="1">
        <f t="shared" si="3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6"/>
      <c r="P16" s="6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19</v>
      </c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6"/>
      <c r="P17" s="1">
        <f>SUM(C17:N17)</f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6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20</v>
      </c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6"/>
      <c r="P19" s="1">
        <f>SUM(C19:N19)</f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27</v>
      </c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6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28</v>
      </c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6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29</v>
      </c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6"/>
      <c r="P22" s="1">
        <f t="shared" ref="P22:P25" si="4">SUM(C22:N22)</f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6"/>
      <c r="P23" s="1">
        <f t="shared" si="4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30</v>
      </c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6"/>
      <c r="P24" s="1">
        <f t="shared" si="4"/>
        <v>0</v>
      </c>
      <c r="Q24" s="1" t="s">
        <v>31</v>
      </c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6"/>
      <c r="P25" s="1">
        <f t="shared" si="4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32</v>
      </c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6"/>
      <c r="P27" s="1">
        <f t="shared" ref="P27:P41" si="5">SUM(C27:N27)</f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33</v>
      </c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6"/>
      <c r="P28" s="1">
        <f t="shared" si="5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34</v>
      </c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6"/>
      <c r="P29" s="1">
        <f t="shared" si="5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73</v>
      </c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6"/>
      <c r="P30" s="1">
        <f t="shared" si="5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74</v>
      </c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6"/>
      <c r="P31" s="1">
        <f t="shared" si="5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75</v>
      </c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6"/>
      <c r="P32" s="1">
        <f t="shared" si="5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76</v>
      </c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6"/>
      <c r="P33" s="1">
        <f t="shared" si="5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77</v>
      </c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6"/>
      <c r="P34" s="1">
        <f t="shared" si="5"/>
        <v>0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78</v>
      </c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6"/>
      <c r="P35" s="1">
        <f t="shared" si="5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38</v>
      </c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6"/>
      <c r="P36" s="1">
        <f t="shared" si="5"/>
        <v>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79</v>
      </c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6"/>
      <c r="P37" s="1">
        <f t="shared" si="5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43</v>
      </c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6"/>
      <c r="P38" s="1">
        <f t="shared" si="5"/>
        <v>0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80</v>
      </c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6"/>
      <c r="P39" s="1">
        <f t="shared" si="5"/>
        <v>0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81</v>
      </c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6"/>
      <c r="P40" s="1">
        <f t="shared" si="5"/>
        <v>0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82</v>
      </c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6"/>
      <c r="P41" s="1">
        <f t="shared" si="5"/>
        <v>0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47</v>
      </c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6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48</v>
      </c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6"/>
      <c r="P43" s="1">
        <f t="shared" ref="P43:P60" si="6">SUM(C43:N43)</f>
        <v>0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39</v>
      </c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6"/>
      <c r="P44" s="1">
        <f t="shared" si="6"/>
        <v>0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50</v>
      </c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6"/>
      <c r="P45" s="1">
        <f t="shared" si="6"/>
        <v>0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51</v>
      </c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6"/>
      <c r="P46" s="1">
        <f t="shared" si="6"/>
        <v>0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52</v>
      </c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6"/>
      <c r="P47" s="1">
        <f t="shared" si="6"/>
        <v>0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84</v>
      </c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6"/>
      <c r="P48" s="1">
        <f t="shared" si="6"/>
        <v>0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54</v>
      </c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6"/>
      <c r="P49" s="1">
        <f t="shared" si="6"/>
        <v>0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55</v>
      </c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6"/>
      <c r="P50" s="1">
        <f t="shared" si="6"/>
        <v>0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56</v>
      </c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6"/>
      <c r="P51" s="1">
        <f t="shared" si="6"/>
        <v>0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63</v>
      </c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6"/>
      <c r="P52" s="1">
        <f t="shared" si="6"/>
        <v>0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58</v>
      </c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6"/>
      <c r="P53" s="1">
        <f t="shared" si="6"/>
        <v>0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85</v>
      </c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6"/>
      <c r="P54" s="1">
        <f t="shared" si="6"/>
        <v>0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60</v>
      </c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6"/>
      <c r="P55" s="1">
        <f t="shared" si="6"/>
        <v>0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61</v>
      </c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6"/>
      <c r="P56" s="1">
        <f t="shared" si="6"/>
        <v>0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6"/>
      <c r="P57" s="1">
        <f t="shared" si="6"/>
        <v>0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6"/>
      <c r="P58" s="1">
        <f t="shared" si="6"/>
        <v>0</v>
      </c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64</v>
      </c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6"/>
      <c r="P59" s="1">
        <f t="shared" si="6"/>
        <v>0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6"/>
      <c r="P60" s="1">
        <f t="shared" si="6"/>
        <v>0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6"/>
      <c r="P61" s="6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66</v>
      </c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6"/>
      <c r="P62" s="1">
        <f t="shared" ref="P62:P63" si="7">SUM(C62:N62)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67</v>
      </c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6"/>
      <c r="P63" s="1">
        <f t="shared" si="7"/>
        <v>0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6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>
        <f t="shared" ref="C65:N65" si="8">SUM(C14:C63)</f>
        <v>0</v>
      </c>
      <c r="D65" s="1">
        <f t="shared" si="8"/>
        <v>0</v>
      </c>
      <c r="E65" s="1">
        <f t="shared" si="8"/>
        <v>0</v>
      </c>
      <c r="F65" s="1">
        <f t="shared" si="8"/>
        <v>0</v>
      </c>
      <c r="G65" s="1">
        <f t="shared" si="8"/>
        <v>0</v>
      </c>
      <c r="H65" s="1">
        <f t="shared" si="8"/>
        <v>0</v>
      </c>
      <c r="I65" s="1">
        <f t="shared" si="8"/>
        <v>0</v>
      </c>
      <c r="J65" s="1">
        <f t="shared" si="8"/>
        <v>0</v>
      </c>
      <c r="K65" s="1">
        <f t="shared" si="8"/>
        <v>0</v>
      </c>
      <c r="L65" s="1">
        <f t="shared" si="8"/>
        <v>0</v>
      </c>
      <c r="M65" s="1">
        <f t="shared" si="8"/>
        <v>0</v>
      </c>
      <c r="N65" s="1">
        <f t="shared" si="8"/>
        <v>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>
        <f>C11-C65</f>
        <v>0</v>
      </c>
      <c r="D66" s="1">
        <f t="shared" ref="D66:N66" si="9">C66+D11-D65</f>
        <v>0</v>
      </c>
      <c r="E66" s="1">
        <f t="shared" si="9"/>
        <v>0</v>
      </c>
      <c r="F66" s="1">
        <f t="shared" si="9"/>
        <v>0</v>
      </c>
      <c r="G66" s="1">
        <f t="shared" si="9"/>
        <v>0</v>
      </c>
      <c r="H66" s="1">
        <f t="shared" si="9"/>
        <v>0</v>
      </c>
      <c r="I66" s="1">
        <f t="shared" si="9"/>
        <v>0</v>
      </c>
      <c r="J66" s="1">
        <f t="shared" si="9"/>
        <v>0</v>
      </c>
      <c r="K66" s="1">
        <f t="shared" si="9"/>
        <v>0</v>
      </c>
      <c r="L66" s="1">
        <f t="shared" si="9"/>
        <v>0</v>
      </c>
      <c r="M66" s="1">
        <f t="shared" si="9"/>
        <v>0</v>
      </c>
      <c r="N66" s="1">
        <f t="shared" si="9"/>
        <v>0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68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69</v>
      </c>
      <c r="B70" s="1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6"/>
      <c r="P70" s="1">
        <f>SUM(C70:N70)</f>
        <v>0</v>
      </c>
      <c r="Q70" s="1" t="s">
        <v>70</v>
      </c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